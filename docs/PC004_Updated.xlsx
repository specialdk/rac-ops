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rac-ops\docs\"/>
    </mc:Choice>
  </mc:AlternateContent>
  <xr:revisionPtr revIDLastSave="0" documentId="8_{6EF34AD0-41FB-4C2D-A8FD-3DE7BD4E0585}" xr6:coauthVersionLast="47" xr6:coauthVersionMax="47" xr10:uidLastSave="{00000000-0000-0000-0000-000000000000}"/>
  <bookViews>
    <workbookView xWindow="-46190" yWindow="-2520" windowWidth="38620" windowHeight="21100" tabRatio="500" activeTab="1" xr2:uid="{00000000-000D-0000-FFFF-FFFF00000000}"/>
  </bookViews>
  <sheets>
    <sheet name="Payment Claim" sheetId="1" r:id="rId1"/>
    <sheet name="Payment_Summary" sheetId="2" r:id="rId2"/>
    <sheet name="A.2.1_Mob&amp;Demob Personnel" sheetId="3" r:id="rId3"/>
    <sheet name="A.2.3 Labour Costs" sheetId="4" r:id="rId4"/>
    <sheet name="A.2.4_Mob&amp;Demob PE" sheetId="5" r:id="rId5"/>
    <sheet name="A.2.5 PE" sheetId="6" r:id="rId6"/>
    <sheet name="A.4_Purchase" sheetId="7" r:id="rId7"/>
    <sheet name="Monthly Claim (Client)" sheetId="8" r:id="rId8"/>
    <sheet name="Config" sheetId="9" r:id="rId9"/>
    <sheet name="Daily Log" sheetId="10" r:id="rId10"/>
    <sheet name="RE Rates" sheetId="11" r:id="rId11"/>
    <sheet name="Site Instructions &amp; Variations" sheetId="12" r:id="rId12"/>
    <sheet name="Operators" sheetId="13" r:id="rId13"/>
  </sheets>
  <definedNames>
    <definedName name="\a">#N/A</definedName>
    <definedName name="\b">#N/A</definedName>
    <definedName name="\c">#N/A</definedName>
    <definedName name="\d">#N/A</definedName>
    <definedName name="\e">#N/A</definedName>
    <definedName name="\f">#N/A</definedName>
    <definedName name="\g">#N/A</definedName>
    <definedName name="\h">#N/A</definedName>
    <definedName name="\i">#N/A</definedName>
    <definedName name="\j">#N/A</definedName>
    <definedName name="\k">#N/A</definedName>
    <definedName name="\m">#N/A</definedName>
    <definedName name="\n">#N/A</definedName>
    <definedName name="\t">#N/A</definedName>
    <definedName name="_______a1" hidden="1">#REF!</definedName>
    <definedName name="______a1" hidden="1">#REF!</definedName>
    <definedName name="_____A1">#REF!</definedName>
    <definedName name="_____a14">#REF!</definedName>
    <definedName name="_____a23">#REF!</definedName>
    <definedName name="_____b1">#REF!</definedName>
    <definedName name="_____B5">#REF!</definedName>
    <definedName name="_____bod1">#REF!</definedName>
    <definedName name="_____bod2">#REF!</definedName>
    <definedName name="_____bod3">#REF!</definedName>
    <definedName name="_____bod4">#REF!</definedName>
    <definedName name="_____bri2">#REF!</definedName>
    <definedName name="_____bri3">#REF!</definedName>
    <definedName name="_____c">#REF!</definedName>
    <definedName name="_____c1">#REF!</definedName>
    <definedName name="_____c2">#REF!</definedName>
    <definedName name="_____d1">#REF!</definedName>
    <definedName name="_____d108">#REF!</definedName>
    <definedName name="_____d2">#REF!</definedName>
    <definedName name="_____d3">#REF!</definedName>
    <definedName name="_____DR1">#REF!</definedName>
    <definedName name="_____DR2">#REF!</definedName>
    <definedName name="_____E1">#REF!</definedName>
    <definedName name="_____E2">#REF!</definedName>
    <definedName name="_____Ext13">#REF!</definedName>
    <definedName name="_____Ext14">#REF!</definedName>
    <definedName name="_____Ext19">#REF!</definedName>
    <definedName name="_____Ext22">#REF!</definedName>
    <definedName name="_____Ext23">#REF!</definedName>
    <definedName name="_____Ext27">#REF!</definedName>
    <definedName name="_____Ext28">#REF!</definedName>
    <definedName name="_____Ext29">#REF!</definedName>
    <definedName name="_____Ext3">#REF!</definedName>
    <definedName name="_____Ext31">#REF!</definedName>
    <definedName name="_____Ext32">#REF!</definedName>
    <definedName name="_____Ext33">#REF!</definedName>
    <definedName name="_____Ext34">#REF!</definedName>
    <definedName name="_____Ext38">#REF!</definedName>
    <definedName name="_____Ext40">#REF!</definedName>
    <definedName name="_____Ext45">#REF!</definedName>
    <definedName name="_____Ext46">#REF!</definedName>
    <definedName name="_____Ext47">#REF!</definedName>
    <definedName name="_____Ext48">#REF!</definedName>
    <definedName name="_____Ext49">#REF!</definedName>
    <definedName name="_____Ext50">#REF!</definedName>
    <definedName name="_____Ext51">#REF!</definedName>
    <definedName name="_____Ext55">#REF!</definedName>
    <definedName name="_____Ext56">#REF!</definedName>
    <definedName name="_____Ext57">#REF!</definedName>
    <definedName name="_____Ext58">#REF!</definedName>
    <definedName name="_____Ext59">#REF!</definedName>
    <definedName name="_____Ext6">#REF!</definedName>
    <definedName name="_____Ext60">#REF!</definedName>
    <definedName name="_____Ext61">#REF!</definedName>
    <definedName name="_____Ext62">#REF!</definedName>
    <definedName name="_____Ext63">#REF!</definedName>
    <definedName name="_____Ext64">#REF!</definedName>
    <definedName name="_____Ext65">#REF!</definedName>
    <definedName name="_____Ext66">#REF!</definedName>
    <definedName name="_____Ext67">#REF!</definedName>
    <definedName name="_____Ext68">#REF!</definedName>
    <definedName name="_____Ext69">#REF!</definedName>
    <definedName name="_____Ext70">#REF!</definedName>
    <definedName name="_____Ext71">#REF!</definedName>
    <definedName name="_____Ext72">#REF!</definedName>
    <definedName name="_____Ext73">#REF!</definedName>
    <definedName name="_____Ext74">#REF!</definedName>
    <definedName name="_____Ext75">#REF!</definedName>
    <definedName name="_____Ext76">#REF!</definedName>
    <definedName name="_____Ext77">#REF!</definedName>
    <definedName name="_____Ext78">#REF!</definedName>
    <definedName name="_____Ext79">#REF!</definedName>
    <definedName name="_____Ext80">#REF!</definedName>
    <definedName name="_____Fc1">#REF!</definedName>
    <definedName name="_____Fc2">#REF!</definedName>
    <definedName name="_____Fc3">#REF!</definedName>
    <definedName name="_____Fc4">#REF!</definedName>
    <definedName name="_____I1">#REF!</definedName>
    <definedName name="_____I2">#REF!</definedName>
    <definedName name="_____k1">#REF!</definedName>
    <definedName name="_____L10">#REF!</definedName>
    <definedName name="_____l3">#REF!</definedName>
    <definedName name="_____m1">#REF!</definedName>
    <definedName name="_____m2">#REF!</definedName>
    <definedName name="_____n40">#REF!</definedName>
    <definedName name="_____nnn1">#REF!</definedName>
    <definedName name="_____now1">#REF!</definedName>
    <definedName name="_____now2">#REF!</definedName>
    <definedName name="_____now3">#REF!</definedName>
    <definedName name="_____now4">#REF!</definedName>
    <definedName name="_____now5">#REF!</definedName>
    <definedName name="_____now6">#REF!</definedName>
    <definedName name="_____po1">#REF!</definedName>
    <definedName name="_____po2">#REF!</definedName>
    <definedName name="_____PR1">#REF!</definedName>
    <definedName name="_____PR2">#REF!</definedName>
    <definedName name="_____r">#REF!</definedName>
    <definedName name="_____R1">#REF!</definedName>
    <definedName name="_____R2">#REF!</definedName>
    <definedName name="_____rd1">#REF!</definedName>
    <definedName name="_____rd2">#REF!</definedName>
    <definedName name="_____rd3">#REF!</definedName>
    <definedName name="_____rd4">#REF!</definedName>
    <definedName name="_____Stk13">#REF!</definedName>
    <definedName name="_____Stk14">#REF!</definedName>
    <definedName name="_____Stk19">#REF!</definedName>
    <definedName name="_____Stk22">#REF!</definedName>
    <definedName name="_____Stk23">#REF!</definedName>
    <definedName name="_____Stk27">#REF!</definedName>
    <definedName name="_____Stk28">#REF!</definedName>
    <definedName name="_____Stk29">#REF!</definedName>
    <definedName name="_____Stk3">#REF!</definedName>
    <definedName name="_____Stk31">#REF!</definedName>
    <definedName name="_____Stk32">#REF!</definedName>
    <definedName name="_____Stk33">#REF!</definedName>
    <definedName name="_____Stk34">#REF!</definedName>
    <definedName name="_____Stk38">#REF!</definedName>
    <definedName name="_____Stk40">#REF!</definedName>
    <definedName name="_____Stk45">#REF!</definedName>
    <definedName name="_____Stk46">#REF!</definedName>
    <definedName name="_____Stk47">#REF!</definedName>
    <definedName name="_____Stk48">#REF!</definedName>
    <definedName name="_____Stk49">#REF!</definedName>
    <definedName name="_____Stk50">#REF!</definedName>
    <definedName name="_____Stk51">#REF!</definedName>
    <definedName name="_____Stk55">#REF!</definedName>
    <definedName name="_____Stk56">#REF!</definedName>
    <definedName name="_____Stk57">#REF!</definedName>
    <definedName name="_____Stk58">#REF!</definedName>
    <definedName name="_____Stk59">#REF!</definedName>
    <definedName name="_____Stk6">#REF!</definedName>
    <definedName name="_____Stk60">#REF!</definedName>
    <definedName name="_____Stk61">#REF!</definedName>
    <definedName name="_____Stk62">#REF!</definedName>
    <definedName name="_____Stk63">#REF!</definedName>
    <definedName name="_____Stk64">#REF!</definedName>
    <definedName name="_____Stk65">#REF!</definedName>
    <definedName name="_____Stk66">#REF!</definedName>
    <definedName name="_____Stk67">#REF!</definedName>
    <definedName name="_____Stk68">#REF!</definedName>
    <definedName name="_____Stk69">#REF!</definedName>
    <definedName name="_____Stk70">#REF!</definedName>
    <definedName name="_____Stk71">#REF!</definedName>
    <definedName name="_____Stk72">#REF!</definedName>
    <definedName name="_____Stk73">#REF!</definedName>
    <definedName name="_____Stk74">#REF!</definedName>
    <definedName name="_____Stk75">#REF!</definedName>
    <definedName name="_____Stk76">#REF!</definedName>
    <definedName name="_____Stk77">#REF!</definedName>
    <definedName name="_____Stk78">#REF!</definedName>
    <definedName name="_____Stk79">#REF!</definedName>
    <definedName name="_____Stk80">#REF!</definedName>
    <definedName name="_____tab1">#REF!</definedName>
    <definedName name="_____tcl1">#REF!</definedName>
    <definedName name="_____tcl2">#REF!</definedName>
    <definedName name="_____TEN1">#REF!</definedName>
    <definedName name="_____TEN2">#REF!</definedName>
    <definedName name="_____v1">#REF!</definedName>
    <definedName name="_____w1">#REF!</definedName>
    <definedName name="_____wv1">#REF!</definedName>
    <definedName name="_____wv2">#REF!</definedName>
    <definedName name="_____wv3">#REF!</definedName>
    <definedName name="_____x1">#REF!</definedName>
    <definedName name="_____x2">#REF!</definedName>
    <definedName name="_____x3">#REF!</definedName>
    <definedName name="_____x4">#REF!</definedName>
    <definedName name="_____x5">#REF!</definedName>
    <definedName name="_____y1">#REF!</definedName>
    <definedName name="_____y2">#REF!</definedName>
    <definedName name="_____y3">#REF!</definedName>
    <definedName name="_____y4">#REF!</definedName>
    <definedName name="_____y5">#REF!</definedName>
    <definedName name="_____yb1">#REF!</definedName>
    <definedName name="_____yb2">#REF!</definedName>
    <definedName name="____A1">#REF!</definedName>
    <definedName name="____a14">#REF!</definedName>
    <definedName name="____a23">#REF!</definedName>
    <definedName name="____b1">#REF!</definedName>
    <definedName name="____B5">#REF!</definedName>
    <definedName name="____bod1">#REF!</definedName>
    <definedName name="____bod2">#REF!</definedName>
    <definedName name="____bod3">#REF!</definedName>
    <definedName name="____bod4">#REF!</definedName>
    <definedName name="____bri2">#REF!</definedName>
    <definedName name="____bri3">#REF!</definedName>
    <definedName name="____c">#REF!</definedName>
    <definedName name="____c1">#REF!</definedName>
    <definedName name="____c2">#REF!</definedName>
    <definedName name="____d1">#REF!</definedName>
    <definedName name="____d108">#REF!</definedName>
    <definedName name="____d2">#REF!</definedName>
    <definedName name="____d3">#REF!</definedName>
    <definedName name="____DR1">#REF!</definedName>
    <definedName name="____DR2">#REF!</definedName>
    <definedName name="____E1">#REF!</definedName>
    <definedName name="____E2">#REF!</definedName>
    <definedName name="____ECT1">#REF!,#REF!,#REF!,#REF!,#REF!,#REF!,#REF!,#REF!,#REF!,#REF!,#REF!,#REF!,#REF!,#REF!,#REF!,#REF!,#REF!,#REF!,#REF!,#REF!,#REF!,#REF!,#REF!,#REF!,#REF!,#REF!,#REF!</definedName>
    <definedName name="____Ext13">#REF!</definedName>
    <definedName name="____Ext14">#REF!</definedName>
    <definedName name="____Ext19">#REF!</definedName>
    <definedName name="____Ext22">#REF!</definedName>
    <definedName name="____Ext23">#REF!</definedName>
    <definedName name="____Ext27">#REF!</definedName>
    <definedName name="____Ext28">#REF!</definedName>
    <definedName name="____Ext29">#REF!</definedName>
    <definedName name="____Ext3">#REF!</definedName>
    <definedName name="____Ext31">#REF!</definedName>
    <definedName name="____Ext32">#REF!</definedName>
    <definedName name="____Ext33">#REF!</definedName>
    <definedName name="____Ext34">#REF!</definedName>
    <definedName name="____Ext38">#REF!</definedName>
    <definedName name="____Ext40">#REF!</definedName>
    <definedName name="____Ext45">#REF!</definedName>
    <definedName name="____Ext46">#REF!</definedName>
    <definedName name="____Ext47">#REF!</definedName>
    <definedName name="____Ext48">#REF!</definedName>
    <definedName name="____Ext49">#REF!</definedName>
    <definedName name="____Ext50">#REF!</definedName>
    <definedName name="____Ext51">#REF!</definedName>
    <definedName name="____Ext55">#REF!</definedName>
    <definedName name="____Ext56">#REF!</definedName>
    <definedName name="____Ext57">#REF!</definedName>
    <definedName name="____Ext58">#REF!</definedName>
    <definedName name="____Ext59">#REF!</definedName>
    <definedName name="____Ext6">#REF!</definedName>
    <definedName name="____Ext60">#REF!</definedName>
    <definedName name="____Ext61">#REF!</definedName>
    <definedName name="____Ext62">#REF!</definedName>
    <definedName name="____Ext63">#REF!</definedName>
    <definedName name="____Ext64">#REF!</definedName>
    <definedName name="____Ext65">#REF!</definedName>
    <definedName name="____Ext66">#REF!</definedName>
    <definedName name="____Ext67">#REF!</definedName>
    <definedName name="____Ext68">#REF!</definedName>
    <definedName name="____Ext69">#REF!</definedName>
    <definedName name="____Ext70">#REF!</definedName>
    <definedName name="____Ext71">#REF!</definedName>
    <definedName name="____Ext72">#REF!</definedName>
    <definedName name="____Ext73">#REF!</definedName>
    <definedName name="____Ext74">#REF!</definedName>
    <definedName name="____Ext75">#REF!</definedName>
    <definedName name="____Ext76">#REF!</definedName>
    <definedName name="____Ext77">#REF!</definedName>
    <definedName name="____Ext78">#REF!</definedName>
    <definedName name="____Ext79">#REF!</definedName>
    <definedName name="____Ext80">#REF!</definedName>
    <definedName name="____Fc1">#REF!</definedName>
    <definedName name="____Fc2">#REF!</definedName>
    <definedName name="____Fc3">#REF!</definedName>
    <definedName name="____Fc4">#REF!</definedName>
    <definedName name="____I1">#REF!</definedName>
    <definedName name="____I2">#REF!</definedName>
    <definedName name="____k1">#REF!</definedName>
    <definedName name="____L10">#REF!</definedName>
    <definedName name="____l3">#REF!</definedName>
    <definedName name="____m1">#REF!</definedName>
    <definedName name="____m2">#REF!</definedName>
    <definedName name="____n40">#REF!</definedName>
    <definedName name="____nnn1">#REF!</definedName>
    <definedName name="____now1">#REF!</definedName>
    <definedName name="____now2">#REF!</definedName>
    <definedName name="____now3">#REF!</definedName>
    <definedName name="____now4">#REF!</definedName>
    <definedName name="____now5">#REF!</definedName>
    <definedName name="____now6">#REF!</definedName>
    <definedName name="____po1">#REF!</definedName>
    <definedName name="____po2">#REF!</definedName>
    <definedName name="____PR1">#REF!</definedName>
    <definedName name="____PR2">#REF!</definedName>
    <definedName name="____r">#REF!</definedName>
    <definedName name="____R1">#REF!</definedName>
    <definedName name="____R2">#REF!</definedName>
    <definedName name="____rd1">#REF!</definedName>
    <definedName name="____rd2">#REF!</definedName>
    <definedName name="____rd3">#REF!</definedName>
    <definedName name="____rd4">#REF!</definedName>
    <definedName name="____Stk13">#REF!</definedName>
    <definedName name="____Stk14">#REF!</definedName>
    <definedName name="____Stk19">#REF!</definedName>
    <definedName name="____Stk22">#REF!</definedName>
    <definedName name="____Stk23">#REF!</definedName>
    <definedName name="____Stk27">#REF!</definedName>
    <definedName name="____Stk28">#REF!</definedName>
    <definedName name="____Stk29">#REF!</definedName>
    <definedName name="____Stk3">#REF!</definedName>
    <definedName name="____Stk31">#REF!</definedName>
    <definedName name="____Stk32">#REF!</definedName>
    <definedName name="____Stk33">#REF!</definedName>
    <definedName name="____Stk34">#REF!</definedName>
    <definedName name="____Stk38">#REF!</definedName>
    <definedName name="____Stk40">#REF!</definedName>
    <definedName name="____Stk45">#REF!</definedName>
    <definedName name="____Stk46">#REF!</definedName>
    <definedName name="____Stk47">#REF!</definedName>
    <definedName name="____Stk48">#REF!</definedName>
    <definedName name="____Stk49">#REF!</definedName>
    <definedName name="____Stk50">#REF!</definedName>
    <definedName name="____Stk51">#REF!</definedName>
    <definedName name="____Stk55">#REF!</definedName>
    <definedName name="____Stk56">#REF!</definedName>
    <definedName name="____Stk57">#REF!</definedName>
    <definedName name="____Stk58">#REF!</definedName>
    <definedName name="____Stk59">#REF!</definedName>
    <definedName name="____Stk6">#REF!</definedName>
    <definedName name="____Stk60">#REF!</definedName>
    <definedName name="____Stk61">#REF!</definedName>
    <definedName name="____Stk62">#REF!</definedName>
    <definedName name="____Stk63">#REF!</definedName>
    <definedName name="____Stk64">#REF!</definedName>
    <definedName name="____Stk65">#REF!</definedName>
    <definedName name="____Stk66">#REF!</definedName>
    <definedName name="____Stk67">#REF!</definedName>
    <definedName name="____Stk68">#REF!</definedName>
    <definedName name="____Stk69">#REF!</definedName>
    <definedName name="____Stk70">#REF!</definedName>
    <definedName name="____Stk71">#REF!</definedName>
    <definedName name="____Stk72">#REF!</definedName>
    <definedName name="____Stk73">#REF!</definedName>
    <definedName name="____Stk74">#REF!</definedName>
    <definedName name="____Stk75">#REF!</definedName>
    <definedName name="____Stk76">#REF!</definedName>
    <definedName name="____Stk77">#REF!</definedName>
    <definedName name="____Stk78">#REF!</definedName>
    <definedName name="____Stk79">#REF!</definedName>
    <definedName name="____Stk80">#REF!</definedName>
    <definedName name="____tab1">#REF!</definedName>
    <definedName name="____tcl1">#REF!</definedName>
    <definedName name="____tcl2">#REF!</definedName>
    <definedName name="____TEN1">#REF!</definedName>
    <definedName name="____TEN2">#REF!</definedName>
    <definedName name="____v1">#REF!</definedName>
    <definedName name="____w1">#REF!</definedName>
    <definedName name="____wv1">#REF!</definedName>
    <definedName name="____wv2">#REF!</definedName>
    <definedName name="____wv3">#REF!</definedName>
    <definedName name="____x1">#REF!</definedName>
    <definedName name="____x2">#REF!</definedName>
    <definedName name="____x3">#REF!</definedName>
    <definedName name="____x4">#REF!</definedName>
    <definedName name="____x5">#REF!</definedName>
    <definedName name="____y1">#REF!</definedName>
    <definedName name="____y2">#REF!</definedName>
    <definedName name="____y3">#REF!</definedName>
    <definedName name="____y4">#REF!</definedName>
    <definedName name="____y5">#REF!</definedName>
    <definedName name="____yb1">#REF!</definedName>
    <definedName name="____yb2">#REF!</definedName>
    <definedName name="___A1">#REF!</definedName>
    <definedName name="___a14">#REF!</definedName>
    <definedName name="___a23">#REF!</definedName>
    <definedName name="___av2" localSheetId="1" hidden="1">{#N/A,#N/A,FALSE,"subcontract"}</definedName>
    <definedName name="___av2" hidden="1">{#N/A,#N/A,FALSE,"subcontract"}</definedName>
    <definedName name="___b1">#REF!</definedName>
    <definedName name="___B5">#REF!</definedName>
    <definedName name="___bod1">#REF!</definedName>
    <definedName name="___bod2">#REF!</definedName>
    <definedName name="___bod3">#REF!</definedName>
    <definedName name="___bod4">#REF!</definedName>
    <definedName name="___bri2">#REF!</definedName>
    <definedName name="___bri3">#REF!</definedName>
    <definedName name="___c">#REF!</definedName>
    <definedName name="___c1">#REF!</definedName>
    <definedName name="___c2">#REF!</definedName>
    <definedName name="___d1">#REF!</definedName>
    <definedName name="___d108">#REF!</definedName>
    <definedName name="___d2">#REF!</definedName>
    <definedName name="___d3">#REF!</definedName>
    <definedName name="___DR1">#REF!</definedName>
    <definedName name="___DR2">#REF!</definedName>
    <definedName name="___E1">#REF!</definedName>
    <definedName name="___E2">#REF!</definedName>
    <definedName name="___ECT1">#REF!,#REF!,#REF!,#REF!,#REF!,#REF!,#REF!,#REF!,#REF!,#REF!,#REF!,#REF!,#REF!,#REF!,#REF!,#REF!,#REF!,#REF!,#REF!,#REF!,#REF!,#REF!,#REF!,#REF!,#REF!,#REF!,#REF!</definedName>
    <definedName name="___ECT2">#REF!,#REF!,#REF!</definedName>
    <definedName name="___Ext13">#REF!</definedName>
    <definedName name="___Ext14">#REF!</definedName>
    <definedName name="___Ext19">#REF!</definedName>
    <definedName name="___Ext22">#REF!</definedName>
    <definedName name="___Ext23">#REF!</definedName>
    <definedName name="___Ext27">#REF!</definedName>
    <definedName name="___Ext28">#REF!</definedName>
    <definedName name="___Ext29">#REF!</definedName>
    <definedName name="___Ext3">#REF!</definedName>
    <definedName name="___Ext31">#REF!</definedName>
    <definedName name="___Ext32">#REF!</definedName>
    <definedName name="___Ext33">#REF!</definedName>
    <definedName name="___Ext34">#REF!</definedName>
    <definedName name="___Ext38">#REF!</definedName>
    <definedName name="___Ext40">#REF!</definedName>
    <definedName name="___Ext45">#REF!</definedName>
    <definedName name="___Ext46">#REF!</definedName>
    <definedName name="___Ext47">#REF!</definedName>
    <definedName name="___Ext48">#REF!</definedName>
    <definedName name="___Ext49">#REF!</definedName>
    <definedName name="___Ext50">#REF!</definedName>
    <definedName name="___Ext51">#REF!</definedName>
    <definedName name="___Ext55">#REF!</definedName>
    <definedName name="___Ext56">#REF!</definedName>
    <definedName name="___Ext57">#REF!</definedName>
    <definedName name="___Ext58">#REF!</definedName>
    <definedName name="___Ext59">#REF!</definedName>
    <definedName name="___Ext6">#REF!</definedName>
    <definedName name="___Ext60">#REF!</definedName>
    <definedName name="___Ext61">#REF!</definedName>
    <definedName name="___Ext62">#REF!</definedName>
    <definedName name="___Ext63">#REF!</definedName>
    <definedName name="___Ext64">#REF!</definedName>
    <definedName name="___Ext65">#REF!</definedName>
    <definedName name="___Ext66">#REF!</definedName>
    <definedName name="___Ext67">#REF!</definedName>
    <definedName name="___Ext68">#REF!</definedName>
    <definedName name="___Ext69">#REF!</definedName>
    <definedName name="___Ext70">#REF!</definedName>
    <definedName name="___Ext71">#REF!</definedName>
    <definedName name="___Ext72">#REF!</definedName>
    <definedName name="___Ext73">#REF!</definedName>
    <definedName name="___Ext74">#REF!</definedName>
    <definedName name="___Ext75">#REF!</definedName>
    <definedName name="___Ext76">#REF!</definedName>
    <definedName name="___Ext77">#REF!</definedName>
    <definedName name="___Ext78">#REF!</definedName>
    <definedName name="___Ext79">#REF!</definedName>
    <definedName name="___Ext80">#REF!</definedName>
    <definedName name="___Fc1">#REF!</definedName>
    <definedName name="___Fc2">#REF!</definedName>
    <definedName name="___Fc3">#REF!</definedName>
    <definedName name="___Fc4">#REF!</definedName>
    <definedName name="___I1">#REF!</definedName>
    <definedName name="___I2">#REF!</definedName>
    <definedName name="___k1">#REF!</definedName>
    <definedName name="___L10">#REF!</definedName>
    <definedName name="___l3">#REF!</definedName>
    <definedName name="___lu1" localSheetId="1" hidden="1">{#N/A,#N/A,FALSE,"subcontract"}</definedName>
    <definedName name="___lu1" hidden="1">{#N/A,#N/A,FALSE,"subcontract"}</definedName>
    <definedName name="___lu2" localSheetId="1" hidden="1">{#N/A,#N/A,FALSE,"subcontract"}</definedName>
    <definedName name="___lu2" hidden="1">{#N/A,#N/A,FALSE,"subcontract"}</definedName>
    <definedName name="___lu222" localSheetId="1" hidden="1">{#N/A,#N/A,FALSE,"subcontract"}</definedName>
    <definedName name="___lu222" hidden="1">{#N/A,#N/A,FALSE,"subcontract"}</definedName>
    <definedName name="___m1">#REF!</definedName>
    <definedName name="___m2">#REF!</definedName>
    <definedName name="___n40">#REF!</definedName>
    <definedName name="___nn222" localSheetId="1" hidden="1">{#N/A,#N/A,FALSE,"subcontract"}</definedName>
    <definedName name="___nn222" hidden="1">{#N/A,#N/A,FALSE,"subcontract"}</definedName>
    <definedName name="___nnn1">#REF!</definedName>
    <definedName name="___now1">#REF!</definedName>
    <definedName name="___now2">#REF!</definedName>
    <definedName name="___now3">#REF!</definedName>
    <definedName name="___now4">#REF!</definedName>
    <definedName name="___now5">#REF!</definedName>
    <definedName name="___now6">#REF!</definedName>
    <definedName name="___po1">#REF!</definedName>
    <definedName name="___po2">#REF!</definedName>
    <definedName name="___PR1">#REF!</definedName>
    <definedName name="___PR2">#REF!</definedName>
    <definedName name="___pv2222" localSheetId="1" hidden="1">{#N/A,#N/A,FALSE,"subcontract"}</definedName>
    <definedName name="___pv2222" hidden="1">{#N/A,#N/A,FALSE,"subcontract"}</definedName>
    <definedName name="___r">#REF!</definedName>
    <definedName name="___R1">#REF!</definedName>
    <definedName name="___R2">#REF!</definedName>
    <definedName name="___rd1">#REF!</definedName>
    <definedName name="___rd2">#REF!</definedName>
    <definedName name="___rd3">#REF!</definedName>
    <definedName name="___rd4">#REF!</definedName>
    <definedName name="___sp2222" localSheetId="1" hidden="1">{#N/A,#N/A,FALSE,"subcontract"}</definedName>
    <definedName name="___sp2222" hidden="1">{#N/A,#N/A,FALSE,"subcontract"}</definedName>
    <definedName name="___Stk13">#REF!</definedName>
    <definedName name="___Stk14">#REF!</definedName>
    <definedName name="___Stk19">#REF!</definedName>
    <definedName name="___Stk22">#REF!</definedName>
    <definedName name="___Stk23">#REF!</definedName>
    <definedName name="___Stk27">#REF!</definedName>
    <definedName name="___Stk28">#REF!</definedName>
    <definedName name="___Stk29">#REF!</definedName>
    <definedName name="___Stk3">#REF!</definedName>
    <definedName name="___Stk31">#REF!</definedName>
    <definedName name="___Stk32">#REF!</definedName>
    <definedName name="___Stk33">#REF!</definedName>
    <definedName name="___Stk34">#REF!</definedName>
    <definedName name="___Stk38">#REF!</definedName>
    <definedName name="___Stk40">#REF!</definedName>
    <definedName name="___Stk45">#REF!</definedName>
    <definedName name="___Stk46">#REF!</definedName>
    <definedName name="___Stk47">#REF!</definedName>
    <definedName name="___Stk48">#REF!</definedName>
    <definedName name="___Stk49">#REF!</definedName>
    <definedName name="___Stk50">#REF!</definedName>
    <definedName name="___Stk51">#REF!</definedName>
    <definedName name="___Stk55">#REF!</definedName>
    <definedName name="___Stk56">#REF!</definedName>
    <definedName name="___Stk57">#REF!</definedName>
    <definedName name="___Stk58">#REF!</definedName>
    <definedName name="___Stk59">#REF!</definedName>
    <definedName name="___Stk6">#REF!</definedName>
    <definedName name="___Stk60">#REF!</definedName>
    <definedName name="___Stk61">#REF!</definedName>
    <definedName name="___Stk62">#REF!</definedName>
    <definedName name="___Stk63">#REF!</definedName>
    <definedName name="___Stk64">#REF!</definedName>
    <definedName name="___Stk65">#REF!</definedName>
    <definedName name="___Stk66">#REF!</definedName>
    <definedName name="___Stk67">#REF!</definedName>
    <definedName name="___Stk68">#REF!</definedName>
    <definedName name="___Stk69">#REF!</definedName>
    <definedName name="___Stk70">#REF!</definedName>
    <definedName name="___Stk71">#REF!</definedName>
    <definedName name="___Stk72">#REF!</definedName>
    <definedName name="___Stk73">#REF!</definedName>
    <definedName name="___Stk74">#REF!</definedName>
    <definedName name="___Stk75">#REF!</definedName>
    <definedName name="___Stk76">#REF!</definedName>
    <definedName name="___Stk77">#REF!</definedName>
    <definedName name="___Stk78">#REF!</definedName>
    <definedName name="___Stk79">#REF!</definedName>
    <definedName name="___Stk80">#REF!</definedName>
    <definedName name="___tab1">#REF!</definedName>
    <definedName name="___tcl1">#REF!</definedName>
    <definedName name="___tcl2">#REF!</definedName>
    <definedName name="___TEN1">#REF!</definedName>
    <definedName name="___TEN2">#REF!</definedName>
    <definedName name="___thinkcell72y7Gj2r90aBpIH5OdDYkA" hidden="1">#REF!</definedName>
    <definedName name="___thinkcellbRaacW1uKUa3Kz5bIwnnvg" hidden="1">#REF!</definedName>
    <definedName name="___v1">#REF!</definedName>
    <definedName name="___w1">#REF!</definedName>
    <definedName name="___wrn222" localSheetId="1" hidden="1">{#N/A,#N/A,FALSE,"subcontract"}</definedName>
    <definedName name="___wrn222" hidden="1">{#N/A,#N/A,FALSE,"subcontract"}</definedName>
    <definedName name="___wv1">#REF!</definedName>
    <definedName name="___wv2">#REF!</definedName>
    <definedName name="___wv3">#REF!</definedName>
    <definedName name="___x1">#REF!</definedName>
    <definedName name="___x2">#REF!</definedName>
    <definedName name="___x3">#REF!</definedName>
    <definedName name="___x4">#REF!</definedName>
    <definedName name="___x5">#REF!</definedName>
    <definedName name="___y1">#REF!</definedName>
    <definedName name="___y2">#REF!</definedName>
    <definedName name="___y3">#REF!</definedName>
    <definedName name="___y4">#REF!</definedName>
    <definedName name="___y5">#REF!</definedName>
    <definedName name="___yb1">#REF!</definedName>
    <definedName name="___yb2">#REF!</definedName>
    <definedName name="__1__123Graph_ACHART_1" hidden="1">#REF!</definedName>
    <definedName name="__123Graph_A" hidden="1">#REF!</definedName>
    <definedName name="__123Graph_AChart1" hidden="1">#REF!</definedName>
    <definedName name="__123Graph_AChart11" hidden="1">#REF!</definedName>
    <definedName name="__123Graph_AChart12" hidden="1">#REF!</definedName>
    <definedName name="__123Graph_AChart13" hidden="1">#REF!</definedName>
    <definedName name="__123Graph_AChart4" hidden="1">#REF!</definedName>
    <definedName name="__123Graph_ACurrent" hidden="1">#REF!</definedName>
    <definedName name="__123Graph_ANONMAN" hidden="1">#REF!</definedName>
    <definedName name="__123Graph_APERFORM" hidden="1">#REF!</definedName>
    <definedName name="__123Graph_APPCONC" hidden="1">#REF!</definedName>
    <definedName name="__123Graph_APROGRESS" hidden="1">#REF!</definedName>
    <definedName name="__123Graph_ATOTALPP" hidden="1">#REF!</definedName>
    <definedName name="__123Graph_B" hidden="1">#REF!</definedName>
    <definedName name="__123Graph_BChart1" hidden="1">#REF!</definedName>
    <definedName name="__123Graph_BChart11" hidden="1">#REF!</definedName>
    <definedName name="__123Graph_BChart12" hidden="1">#REF!</definedName>
    <definedName name="__123Graph_BChart13" hidden="1">#REF!</definedName>
    <definedName name="__123Graph_BChart4" hidden="1">#REF!</definedName>
    <definedName name="__123Graph_BCurrent" hidden="1">#REF!</definedName>
    <definedName name="__123Graph_BNONMAN" hidden="1">#REF!</definedName>
    <definedName name="__123Graph_BPERFORM" hidden="1">#REF!</definedName>
    <definedName name="__123Graph_BPERFORMANCE" hidden="1">#REF!</definedName>
    <definedName name="__123Graph_BPPCONC" hidden="1">#REF!</definedName>
    <definedName name="__123Graph_BPROGRESS" hidden="1">#REF!</definedName>
    <definedName name="__123Graph_BTOTALPP" hidden="1">#REF!</definedName>
    <definedName name="__123Graph_C" hidden="1">#REF!</definedName>
    <definedName name="__123Graph_CChart1" hidden="1">#REF!</definedName>
    <definedName name="__123Graph_CChart11" hidden="1">#REF!</definedName>
    <definedName name="__123Graph_CChart12" hidden="1">#REF!</definedName>
    <definedName name="__123Graph_CChart13" hidden="1">#REF!</definedName>
    <definedName name="__123Graph_CChart4" hidden="1">#REF!</definedName>
    <definedName name="__123Graph_CCONT" hidden="1">#REF!</definedName>
    <definedName name="__123Graph_CCOST" hidden="1">#REF!</definedName>
    <definedName name="__123Graph_CCurrent" hidden="1">#REF!</definedName>
    <definedName name="__123Graph_CGM" hidden="1">#REF!</definedName>
    <definedName name="__123Graph_CPERFORM" hidden="1">#REF!</definedName>
    <definedName name="__123Graph_CPPCONC" hidden="1">#REF!</definedName>
    <definedName name="__123Graph_CPROGRESS" hidden="1">#REF!</definedName>
    <definedName name="__123Graph_CREV" hidden="1">#REF!</definedName>
    <definedName name="__123Graph_CTOTALPP" hidden="1">#REF!</definedName>
    <definedName name="__123Graph_D" hidden="1">#REF!</definedName>
    <definedName name="__123Graph_DChart1" hidden="1">#REF!</definedName>
    <definedName name="__123Graph_DChart11" hidden="1">#REF!</definedName>
    <definedName name="__123Graph_DChart12" hidden="1">#REF!</definedName>
    <definedName name="__123Graph_DChart13" hidden="1">#REF!</definedName>
    <definedName name="__123Graph_DChart4" hidden="1">#REF!</definedName>
    <definedName name="__123Graph_DCurrent" hidden="1">#REF!</definedName>
    <definedName name="__123Graph_DPPCONC" hidden="1">#REF!</definedName>
    <definedName name="__123Graph_DTOTALPP" hidden="1">#REF!</definedName>
    <definedName name="__123Graph_E" hidden="1">#REF!</definedName>
    <definedName name="__123Graph_EChart1" hidden="1">#REF!</definedName>
    <definedName name="__123Graph_EChart11" hidden="1">#REF!</definedName>
    <definedName name="__123Graph_EChart12" hidden="1">#REF!</definedName>
    <definedName name="__123Graph_EChart13" hidden="1">#REF!</definedName>
    <definedName name="__123Graph_EChart4" hidden="1">#REF!</definedName>
    <definedName name="__123Graph_ECurrent" hidden="1">#REF!</definedName>
    <definedName name="__123Graph_EPPCONC" hidden="1">#REF!</definedName>
    <definedName name="__123Graph_ETOTALPP" hidden="1">#REF!</definedName>
    <definedName name="__123Graph_F" hidden="1">#REF!</definedName>
    <definedName name="__123Graph_FChart1" hidden="1">#REF!</definedName>
    <definedName name="__123Graph_FChart11" hidden="1">#REF!</definedName>
    <definedName name="__123Graph_FChart12" hidden="1">#REF!</definedName>
    <definedName name="__123Graph_FChart13" hidden="1">#REF!</definedName>
    <definedName name="__123Graph_FChart4" hidden="1">#REF!</definedName>
    <definedName name="__123Graph_FCurrent" hidden="1">#REF!</definedName>
    <definedName name="__123Graph_FPPCONC" hidden="1">#REF!</definedName>
    <definedName name="__123Graph_FTOTALPP" hidden="1">#REF!</definedName>
    <definedName name="__123Graph_LBL_B" hidden="1">#REF!</definedName>
    <definedName name="__123Graph_LBL_C" hidden="1">#REF!</definedName>
    <definedName name="__123Graph_LBL_CCONT" hidden="1">#REF!</definedName>
    <definedName name="__123Graph_LBL_CCOST" hidden="1">#REF!</definedName>
    <definedName name="__123Graph_LBL_CGM" hidden="1">#REF!</definedName>
    <definedName name="__123Graph_LBL_CREV" hidden="1">#REF!</definedName>
    <definedName name="__123Graph_X" hidden="1">#REF!</definedName>
    <definedName name="__123Graph_XChart1" hidden="1">#REF!</definedName>
    <definedName name="__123Graph_XChart11" hidden="1">#REF!</definedName>
    <definedName name="__123Graph_XChart12" hidden="1">#REF!</definedName>
    <definedName name="__123Graph_XChart13" hidden="1">#REF!</definedName>
    <definedName name="__123Graph_XChart4" hidden="1">#REF!</definedName>
    <definedName name="__123Graph_XCONT" hidden="1">#REF!</definedName>
    <definedName name="__123Graph_XCOST" hidden="1">#REF!</definedName>
    <definedName name="__123Graph_XCurrent" hidden="1">#REF!</definedName>
    <definedName name="__123Graph_XGM" hidden="1">#REF!</definedName>
    <definedName name="__123Graph_XPERFORM" hidden="1">#REF!</definedName>
    <definedName name="__123Graph_XPPCONC" hidden="1">#REF!</definedName>
    <definedName name="__123Graph_XPROGRESS" hidden="1">#REF!</definedName>
    <definedName name="__123Graph_XREV" hidden="1">#REF!</definedName>
    <definedName name="__123Graph_XTOTALPP" hidden="1">#REF!</definedName>
    <definedName name="__2__123Graph_BCHART_1" hidden="1">#REF!</definedName>
    <definedName name="__3__123Graph_XCHART_1" hidden="1">#REF!</definedName>
    <definedName name="__3_0_0_F" hidden="1">#REF!</definedName>
    <definedName name="__A1">#REF!</definedName>
    <definedName name="__a14">#REF!</definedName>
    <definedName name="__a23">#REF!</definedName>
    <definedName name="__av2" localSheetId="1" hidden="1">{#N/A,#N/A,FALSE,"subcontract"}</definedName>
    <definedName name="__av2" hidden="1">{#N/A,#N/A,FALSE,"subcontract"}</definedName>
    <definedName name="__b1">#REF!</definedName>
    <definedName name="__B5">#REF!</definedName>
    <definedName name="__bod1">#REF!</definedName>
    <definedName name="__bod2">#REF!</definedName>
    <definedName name="__bod3">#REF!</definedName>
    <definedName name="__bod4">#REF!</definedName>
    <definedName name="__bri2">#REF!</definedName>
    <definedName name="__bri3">#REF!</definedName>
    <definedName name="__c">#REF!</definedName>
    <definedName name="__c1">#REF!</definedName>
    <definedName name="__c2">#REF!</definedName>
    <definedName name="__d1">#REF!</definedName>
    <definedName name="__d108">#REF!</definedName>
    <definedName name="__d2">#REF!</definedName>
    <definedName name="__d3">#REF!</definedName>
    <definedName name="__DR1">#REF!</definedName>
    <definedName name="__DR2">#REF!</definedName>
    <definedName name="__E1">#REF!</definedName>
    <definedName name="__E2">#REF!</definedName>
    <definedName name="__ECT1">#REF!,#REF!,#REF!,#REF!,#REF!,#REF!,#REF!,#REF!,#REF!,#REF!,#REF!,#REF!,#REF!,#REF!,#REF!,#REF!,#REF!,#REF!,#REF!,#REF!,#REF!,#REF!,#REF!,#REF!,#REF!,#REF!,#REF!</definedName>
    <definedName name="__ECT2">#REF!,#REF!,#REF!</definedName>
    <definedName name="__EdFJsKBA">#REF!</definedName>
    <definedName name="__Ext13">#REF!</definedName>
    <definedName name="__Ext14">#REF!</definedName>
    <definedName name="__Ext19">#REF!</definedName>
    <definedName name="__Ext22">#REF!</definedName>
    <definedName name="__Ext23">#REF!</definedName>
    <definedName name="__Ext27">#REF!</definedName>
    <definedName name="__Ext28">#REF!</definedName>
    <definedName name="__Ext29">#REF!</definedName>
    <definedName name="__Ext3">#REF!</definedName>
    <definedName name="__Ext31">#REF!</definedName>
    <definedName name="__Ext32">#REF!</definedName>
    <definedName name="__Ext33">#REF!</definedName>
    <definedName name="__Ext34">#REF!</definedName>
    <definedName name="__Ext38">#REF!</definedName>
    <definedName name="__Ext40">#REF!</definedName>
    <definedName name="__Ext45">#REF!</definedName>
    <definedName name="__Ext46">#REF!</definedName>
    <definedName name="__Ext47">#REF!</definedName>
    <definedName name="__Ext48">#REF!</definedName>
    <definedName name="__Ext49">#REF!</definedName>
    <definedName name="__Ext50">#REF!</definedName>
    <definedName name="__Ext51">#REF!</definedName>
    <definedName name="__Ext55">#REF!</definedName>
    <definedName name="__Ext56">#REF!</definedName>
    <definedName name="__Ext57">#REF!</definedName>
    <definedName name="__Ext58">#REF!</definedName>
    <definedName name="__Ext59">#REF!</definedName>
    <definedName name="__Ext6">#REF!</definedName>
    <definedName name="__Ext60">#REF!</definedName>
    <definedName name="__Ext61">#REF!</definedName>
    <definedName name="__Ext62">#REF!</definedName>
    <definedName name="__Ext63">#REF!</definedName>
    <definedName name="__Ext64">#REF!</definedName>
    <definedName name="__Ext65">#REF!</definedName>
    <definedName name="__Ext66">#REF!</definedName>
    <definedName name="__Ext67">#REF!</definedName>
    <definedName name="__Ext68">#REF!</definedName>
    <definedName name="__Ext69">#REF!</definedName>
    <definedName name="__Ext70">#REF!</definedName>
    <definedName name="__Ext71">#REF!</definedName>
    <definedName name="__Ext72">#REF!</definedName>
    <definedName name="__Ext73">#REF!</definedName>
    <definedName name="__Ext74">#REF!</definedName>
    <definedName name="__Ext75">#REF!</definedName>
    <definedName name="__Ext76">#REF!</definedName>
    <definedName name="__Ext77">#REF!</definedName>
    <definedName name="__Ext78">#REF!</definedName>
    <definedName name="__Ext79">#REF!</definedName>
    <definedName name="__Ext80">#REF!</definedName>
    <definedName name="__Fc1">#REF!</definedName>
    <definedName name="__Fc2">#REF!</definedName>
    <definedName name="__Fc3">#REF!</definedName>
    <definedName name="__Fc4">#REF!</definedName>
    <definedName name="__I1">#REF!</definedName>
    <definedName name="__I2">#REF!</definedName>
    <definedName name="__k1">#REF!</definedName>
    <definedName name="__L10">#REF!</definedName>
    <definedName name="__l3">#REF!</definedName>
    <definedName name="__lu1" localSheetId="1" hidden="1">{#N/A,#N/A,FALSE,"subcontract"}</definedName>
    <definedName name="__lu1" hidden="1">{#N/A,#N/A,FALSE,"subcontract"}</definedName>
    <definedName name="__lu2" localSheetId="1" hidden="1">{#N/A,#N/A,FALSE,"subcontract"}</definedName>
    <definedName name="__lu2" hidden="1">{#N/A,#N/A,FALSE,"subcontract"}</definedName>
    <definedName name="__lu222" localSheetId="1" hidden="1">{#N/A,#N/A,FALSE,"subcontract"}</definedName>
    <definedName name="__lu222" hidden="1">{#N/A,#N/A,FALSE,"subcontract"}</definedName>
    <definedName name="__m1">#REF!</definedName>
    <definedName name="__m2">#REF!</definedName>
    <definedName name="__n40">#REF!</definedName>
    <definedName name="__nn222" localSheetId="1" hidden="1">{#N/A,#N/A,FALSE,"subcontract"}</definedName>
    <definedName name="__nn222" hidden="1">{#N/A,#N/A,FALSE,"subcontract"}</definedName>
    <definedName name="__nnn1">#REF!</definedName>
    <definedName name="__now1">#REF!</definedName>
    <definedName name="__now2">#REF!</definedName>
    <definedName name="__now3">#REF!</definedName>
    <definedName name="__now4">#REF!</definedName>
    <definedName name="__now5">#REF!</definedName>
    <definedName name="__now6">#REF!</definedName>
    <definedName name="__old3" localSheetId="1" hidden="1">{#N/A,#N/A,FALSE,"Summary";#N/A,#N/A,FALSE,"3TJ";#N/A,#N/A,FALSE,"3TN";#N/A,#N/A,FALSE,"3TP";#N/A,#N/A,FALSE,"3SJ";#N/A,#N/A,FALSE,"3CJ";#N/A,#N/A,FALSE,"3CN";#N/A,#N/A,FALSE,"3CP";#N/A,#N/A,FALSE,"3A"}</definedName>
    <definedName name="__old3" hidden="1">{#N/A,#N/A,FALSE,"Summary";#N/A,#N/A,FALSE,"3TJ";#N/A,#N/A,FALSE,"3TN";#N/A,#N/A,FALSE,"3TP";#N/A,#N/A,FALSE,"3SJ";#N/A,#N/A,FALSE,"3CJ";#N/A,#N/A,FALSE,"3CN";#N/A,#N/A,FALSE,"3CP";#N/A,#N/A,FALSE,"3A"}</definedName>
    <definedName name="__old5" localSheetId="1" hidden="1">{#N/A,#N/A,FALSE,"Summary";#N/A,#N/A,FALSE,"3TJ";#N/A,#N/A,FALSE,"3TN";#N/A,#N/A,FALSE,"3TP";#N/A,#N/A,FALSE,"3SJ";#N/A,#N/A,FALSE,"3CJ";#N/A,#N/A,FALSE,"3CN";#N/A,#N/A,FALSE,"3CP";#N/A,#N/A,FALSE,"3A"}</definedName>
    <definedName name="__old5" hidden="1">{#N/A,#N/A,FALSE,"Summary";#N/A,#N/A,FALSE,"3TJ";#N/A,#N/A,FALSE,"3TN";#N/A,#N/A,FALSE,"3TP";#N/A,#N/A,FALSE,"3SJ";#N/A,#N/A,FALSE,"3CJ";#N/A,#N/A,FALSE,"3CN";#N/A,#N/A,FALSE,"3CP";#N/A,#N/A,FALSE,"3A"}</definedName>
    <definedName name="__old7" localSheetId="1" hidden="1">{#N/A,#N/A,FALSE,"Summary";#N/A,#N/A,FALSE,"3TJ";#N/A,#N/A,FALSE,"3TN";#N/A,#N/A,FALSE,"3TP";#N/A,#N/A,FALSE,"3SJ";#N/A,#N/A,FALSE,"3CJ";#N/A,#N/A,FALSE,"3CN";#N/A,#N/A,FALSE,"3CP";#N/A,#N/A,FALSE,"3A"}</definedName>
    <definedName name="__old7" hidden="1">{#N/A,#N/A,FALSE,"Summary";#N/A,#N/A,FALSE,"3TJ";#N/A,#N/A,FALSE,"3TN";#N/A,#N/A,FALSE,"3TP";#N/A,#N/A,FALSE,"3SJ";#N/A,#N/A,FALSE,"3CJ";#N/A,#N/A,FALSE,"3CN";#N/A,#N/A,FALSE,"3CP";#N/A,#N/A,FALSE,"3A"}</definedName>
    <definedName name="__po1">#REF!</definedName>
    <definedName name="__po2">#REF!</definedName>
    <definedName name="__PR1">#REF!</definedName>
    <definedName name="__PR2">#REF!</definedName>
    <definedName name="__pv2222" localSheetId="1" hidden="1">{#N/A,#N/A,FALSE,"subcontract"}</definedName>
    <definedName name="__pv2222" hidden="1">{#N/A,#N/A,FALSE,"subcontract"}</definedName>
    <definedName name="__r">#REF!</definedName>
    <definedName name="__R1">#REF!</definedName>
    <definedName name="__R2">#REF!</definedName>
    <definedName name="__rd1">#REF!</definedName>
    <definedName name="__rd2">#REF!</definedName>
    <definedName name="__rd3">#REF!</definedName>
    <definedName name="__rd4">#REF!</definedName>
    <definedName name="__sp2222" localSheetId="1" hidden="1">{#N/A,#N/A,FALSE,"subcontract"}</definedName>
    <definedName name="__sp2222" hidden="1">{#N/A,#N/A,FALSE,"subcontract"}</definedName>
    <definedName name="__Stk13">#REF!</definedName>
    <definedName name="__Stk14">#REF!</definedName>
    <definedName name="__Stk19">#REF!</definedName>
    <definedName name="__Stk22">#REF!</definedName>
    <definedName name="__Stk23">#REF!</definedName>
    <definedName name="__Stk27">#REF!</definedName>
    <definedName name="__Stk28">#REF!</definedName>
    <definedName name="__Stk29">#REF!</definedName>
    <definedName name="__Stk3">#REF!</definedName>
    <definedName name="__Stk31">#REF!</definedName>
    <definedName name="__Stk32">#REF!</definedName>
    <definedName name="__Stk33">#REF!</definedName>
    <definedName name="__Stk34">#REF!</definedName>
    <definedName name="__Stk38">#REF!</definedName>
    <definedName name="__Stk40">#REF!</definedName>
    <definedName name="__Stk45">#REF!</definedName>
    <definedName name="__Stk46">#REF!</definedName>
    <definedName name="__Stk47">#REF!</definedName>
    <definedName name="__Stk48">#REF!</definedName>
    <definedName name="__Stk49">#REF!</definedName>
    <definedName name="__Stk50">#REF!</definedName>
    <definedName name="__Stk51">#REF!</definedName>
    <definedName name="__Stk55">#REF!</definedName>
    <definedName name="__Stk56">#REF!</definedName>
    <definedName name="__Stk57">#REF!</definedName>
    <definedName name="__Stk58">#REF!</definedName>
    <definedName name="__Stk59">#REF!</definedName>
    <definedName name="__Stk6">#REF!</definedName>
    <definedName name="__Stk60">#REF!</definedName>
    <definedName name="__Stk61">#REF!</definedName>
    <definedName name="__Stk62">#REF!</definedName>
    <definedName name="__Stk63">#REF!</definedName>
    <definedName name="__Stk64">#REF!</definedName>
    <definedName name="__Stk65">#REF!</definedName>
    <definedName name="__Stk66">#REF!</definedName>
    <definedName name="__Stk67">#REF!</definedName>
    <definedName name="__Stk68">#REF!</definedName>
    <definedName name="__Stk69">#REF!</definedName>
    <definedName name="__Stk70">#REF!</definedName>
    <definedName name="__Stk71">#REF!</definedName>
    <definedName name="__Stk72">#REF!</definedName>
    <definedName name="__Stk73">#REF!</definedName>
    <definedName name="__Stk74">#REF!</definedName>
    <definedName name="__Stk75">#REF!</definedName>
    <definedName name="__Stk76">#REF!</definedName>
    <definedName name="__Stk77">#REF!</definedName>
    <definedName name="__Stk78">#REF!</definedName>
    <definedName name="__Stk79">#REF!</definedName>
    <definedName name="__Stk80">#REF!</definedName>
    <definedName name="__tab1">#REF!</definedName>
    <definedName name="__tcl1">#REF!</definedName>
    <definedName name="__tcl2">#REF!</definedName>
    <definedName name="__TEN1">#REF!</definedName>
    <definedName name="__TEN2">#REF!</definedName>
    <definedName name="__v1">#REF!</definedName>
    <definedName name="__w1">#REF!</definedName>
    <definedName name="__wrn222" localSheetId="1" hidden="1">{#N/A,#N/A,FALSE,"subcontract"}</definedName>
    <definedName name="__wrn222" hidden="1">{#N/A,#N/A,FALSE,"subcontract"}</definedName>
    <definedName name="__wv1">#REF!</definedName>
    <definedName name="__wv2">#REF!</definedName>
    <definedName name="__wv3">#REF!</definedName>
    <definedName name="__x1">#REF!</definedName>
    <definedName name="__x2">#REF!</definedName>
    <definedName name="__x3">#REF!</definedName>
    <definedName name="__x4">#REF!</definedName>
    <definedName name="__x5">#REF!</definedName>
    <definedName name="__xlfn.BAHTTEXT" hidden="1">#NAME?</definedName>
    <definedName name="__y1">#REF!</definedName>
    <definedName name="__y2">#REF!</definedName>
    <definedName name="__y3">#REF!</definedName>
    <definedName name="__y4">#REF!</definedName>
    <definedName name="__y5">#REF!</definedName>
    <definedName name="__yb1">#REF!</definedName>
    <definedName name="__yb2">#REF!</definedName>
    <definedName name="_1__123Graph_ACHART_1" hidden="1">#REF!</definedName>
    <definedName name="_1__123Graph_AChart_1A" hidden="1">#REF!</definedName>
    <definedName name="_1_0_0_F" hidden="1">#REF!</definedName>
    <definedName name="_10__123Graph_EChart_1A" hidden="1">#REF!</definedName>
    <definedName name="_12__123Graph_BChart_1A" hidden="1">#REF!</definedName>
    <definedName name="_12__123Graph_FChart_1A" hidden="1">#REF!</definedName>
    <definedName name="_124" hidden="1">#REF!</definedName>
    <definedName name="_14__123Graph_XChart_1A" hidden="1">#REF!</definedName>
    <definedName name="_18__123Graph_CChart_1A" hidden="1">#REF!</definedName>
    <definedName name="_2__123Graph_AChart_1A" hidden="1">#REF!</definedName>
    <definedName name="_2__123Graph_BCHART_1" hidden="1">#REF!</definedName>
    <definedName name="_2__123Graph_BChart_1A" hidden="1">#REF!</definedName>
    <definedName name="_2_0_0_F" hidden="1">#REF!</definedName>
    <definedName name="_24__123Graph_DChart_1A" hidden="1">#REF!</definedName>
    <definedName name="_3__123Graph_CChart_1A" hidden="1">#REF!</definedName>
    <definedName name="_3__123Graph_XCHART_1" hidden="1">#REF!</definedName>
    <definedName name="_3_0_0_F" hidden="1">#REF!</definedName>
    <definedName name="_30__123Graph_EChart_1A" hidden="1">#REF!</definedName>
    <definedName name="_36__123Graph_FChart_1A" hidden="1">#REF!</definedName>
    <definedName name="_4__123Graph_BChart_1A" hidden="1">#REF!</definedName>
    <definedName name="_4__123Graph_DChart_1A" hidden="1">#REF!</definedName>
    <definedName name="_42__123Graph_XChart_1A" hidden="1">#REF!</definedName>
    <definedName name="_5__123Graph_EChart_1A" hidden="1">#REF!</definedName>
    <definedName name="_6__123Graph_AChart_1A" hidden="1">#REF!</definedName>
    <definedName name="_6__123Graph_CChart_1A" hidden="1">#REF!</definedName>
    <definedName name="_6__123Graph_FChart_1A" hidden="1">#REF!</definedName>
    <definedName name="_63">#REF!</definedName>
    <definedName name="_7__123Graph_XChart_1A" hidden="1">#REF!</definedName>
    <definedName name="_8__123Graph_DChart_1A" hidden="1">#REF!</definedName>
    <definedName name="_A1">#REF!</definedName>
    <definedName name="_a14">#REF!</definedName>
    <definedName name="_a23">#REF!</definedName>
    <definedName name="_AtRisk_SimSetting_AutomaticallyGenerateReports" hidden="1">FALSE()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TRUE()</definedName>
    <definedName name="_AtRisk_SimSetting_ConvergencePerformPercentileTest" hidden="1">FALSE()</definedName>
    <definedName name="_AtRisk_SimSetting_ConvergencePerformStdDeviationTest" hidden="1">FALSE()</definedName>
    <definedName name="_AtRisk_SimSetting_ConvergenceTestAllOutputs" hidden="1">TRUE()</definedName>
    <definedName name="_AtRisk_SimSetting_ConvergenceTestingPeriod" hidden="1">100</definedName>
    <definedName name="_AtRisk_SimSetting_ConvergenceTolerance" hidden="1">0.03</definedName>
    <definedName name="_AtRisk_SimSetting_LiveUpdate" hidden="1">TRUE()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TRUE()</definedName>
    <definedName name="_AtRisk_SimSetting_SimNameCount" hidden="1">0</definedName>
    <definedName name="_AtRisk_SimSetting_SmartSensitivityAnalysisEnabled" hidden="1">TRUE()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v2" localSheetId="1" hidden="1">{#N/A,#N/A,FALSE,"subcontract"}</definedName>
    <definedName name="_av2" hidden="1">{#N/A,#N/A,FALSE,"subcontract"}</definedName>
    <definedName name="_b1">#REF!</definedName>
    <definedName name="_B5">#REF!</definedName>
    <definedName name="_bod1">#REF!</definedName>
    <definedName name="_bod2">#REF!</definedName>
    <definedName name="_bod3">#REF!</definedName>
    <definedName name="_bod4">#REF!</definedName>
    <definedName name="_bri2">#REF!</definedName>
    <definedName name="_bri3">#REF!</definedName>
    <definedName name="_c">#REF!</definedName>
    <definedName name="_c1">#REF!</definedName>
    <definedName name="_c2">#REF!</definedName>
    <definedName name="_d1">#REF!</definedName>
    <definedName name="_d108">#REF!</definedName>
    <definedName name="_d2">#REF!</definedName>
    <definedName name="_d3">#REF!</definedName>
    <definedName name="_DR1">#REF!</definedName>
    <definedName name="_DR2">#REF!</definedName>
    <definedName name="_E1">#REF!</definedName>
    <definedName name="_E2">#REF!</definedName>
    <definedName name="_ECT1">#REF!,#REF!,#REF!,#REF!,#REF!,#REF!,#REF!,#REF!,#REF!,#REF!,#REF!,#REF!,#REF!,#REF!,#REF!,#REF!,#REF!,#REF!,#REF!,#REF!,#REF!,#REF!,#REF!,#REF!,#REF!,#REF!,#REF!</definedName>
    <definedName name="_ECT2">#REF!,#REF!,#REF!</definedName>
    <definedName name="_Ext13">#REF!</definedName>
    <definedName name="_Ext14">#REF!</definedName>
    <definedName name="_Ext19">#REF!</definedName>
    <definedName name="_Ext22">#REF!</definedName>
    <definedName name="_Ext23">#REF!</definedName>
    <definedName name="_Ext27">#REF!</definedName>
    <definedName name="_Ext28">#REF!</definedName>
    <definedName name="_Ext29">#REF!</definedName>
    <definedName name="_Ext3">#REF!</definedName>
    <definedName name="_Ext31">#REF!</definedName>
    <definedName name="_Ext32">#REF!</definedName>
    <definedName name="_Ext33">#REF!</definedName>
    <definedName name="_Ext34">#REF!</definedName>
    <definedName name="_Ext38">#REF!</definedName>
    <definedName name="_Ext40">#REF!</definedName>
    <definedName name="_Ext45">#REF!</definedName>
    <definedName name="_Ext46">#REF!</definedName>
    <definedName name="_Ext47">#REF!</definedName>
    <definedName name="_Ext48">#REF!</definedName>
    <definedName name="_Ext49">#REF!</definedName>
    <definedName name="_Ext50">#REF!</definedName>
    <definedName name="_Ext51">#REF!</definedName>
    <definedName name="_Ext55">#REF!</definedName>
    <definedName name="_Ext56">#REF!</definedName>
    <definedName name="_Ext57">#REF!</definedName>
    <definedName name="_Ext58">#REF!</definedName>
    <definedName name="_Ext59">#REF!</definedName>
    <definedName name="_Ext6">#REF!</definedName>
    <definedName name="_Ext60">#REF!</definedName>
    <definedName name="_Ext61">#REF!</definedName>
    <definedName name="_Ext62">#REF!</definedName>
    <definedName name="_Ext63">#REF!</definedName>
    <definedName name="_Ext64">#REF!</definedName>
    <definedName name="_Ext65">#REF!</definedName>
    <definedName name="_Ext66">#REF!</definedName>
    <definedName name="_Ext67">#REF!</definedName>
    <definedName name="_Ext68">#REF!</definedName>
    <definedName name="_Ext69">#REF!</definedName>
    <definedName name="_Ext70">#REF!</definedName>
    <definedName name="_Ext71">#REF!</definedName>
    <definedName name="_Ext72">#REF!</definedName>
    <definedName name="_Ext73">#REF!</definedName>
    <definedName name="_Ext74">#REF!</definedName>
    <definedName name="_Ext75">#REF!</definedName>
    <definedName name="_Ext76">#REF!</definedName>
    <definedName name="_Ext77">#REF!</definedName>
    <definedName name="_Ext78">#REF!</definedName>
    <definedName name="_Ext79">#REF!</definedName>
    <definedName name="_Ext80">#REF!</definedName>
    <definedName name="_Fc1">#REF!</definedName>
    <definedName name="_Fc2">#REF!</definedName>
    <definedName name="_Fc3">#REF!</definedName>
    <definedName name="_Fc4">#REF!</definedName>
    <definedName name="_Fill" hidden="1">#REF!</definedName>
    <definedName name="_Fill2" hidden="1">#REF!</definedName>
    <definedName name="_Fill3" hidden="1">#REF!</definedName>
    <definedName name="_I1">#REF!</definedName>
    <definedName name="_I2">#REF!</definedName>
    <definedName name="_k1">#REF!</definedName>
    <definedName name="_Key1" hidden="1">#REF!</definedName>
    <definedName name="_Key2" hidden="1">#REF!</definedName>
    <definedName name="_L02">#REF!</definedName>
    <definedName name="_L03">#REF!</definedName>
    <definedName name="_L10">#REF!</definedName>
    <definedName name="_L20">#REF!</definedName>
    <definedName name="_l3">#REF!</definedName>
    <definedName name="_lab1">#REF!</definedName>
    <definedName name="_lab2">#REF!</definedName>
    <definedName name="_lu1" localSheetId="1" hidden="1">{#N/A,#N/A,FALSE,"subcontract"}</definedName>
    <definedName name="_lu1" hidden="1">{#N/A,#N/A,FALSE,"subcontract"}</definedName>
    <definedName name="_lu2" localSheetId="1" hidden="1">{#N/A,#N/A,FALSE,"subcontract"}</definedName>
    <definedName name="_lu2" hidden="1">{#N/A,#N/A,FALSE,"subcontract"}</definedName>
    <definedName name="_lu222" localSheetId="1" hidden="1">{#N/A,#N/A,FALSE,"subcontract"}</definedName>
    <definedName name="_lu222" hidden="1">{#N/A,#N/A,FALSE,"subcontract"}</definedName>
    <definedName name="_m1">#REF!</definedName>
    <definedName name="_m2">#REF!</definedName>
    <definedName name="_n40">#REF!</definedName>
    <definedName name="_nn222" localSheetId="1" hidden="1">{#N/A,#N/A,FALSE,"subcontract"}</definedName>
    <definedName name="_nn222" hidden="1">{#N/A,#N/A,FALSE,"subcontract"}</definedName>
    <definedName name="_nnn1">#REF!</definedName>
    <definedName name="_now1">#REF!</definedName>
    <definedName name="_now2">#REF!</definedName>
    <definedName name="_now3">#REF!</definedName>
    <definedName name="_now4">#REF!</definedName>
    <definedName name="_now5">#REF!</definedName>
    <definedName name="_now6">#REF!</definedName>
    <definedName name="_OH1">0.4</definedName>
    <definedName name="_OH2">0.85</definedName>
    <definedName name="_old3" localSheetId="1" hidden="1">{#N/A,#N/A,FALSE,"Summary";#N/A,#N/A,FALSE,"3TJ";#N/A,#N/A,FALSE,"3TN";#N/A,#N/A,FALSE,"3TP";#N/A,#N/A,FALSE,"3SJ";#N/A,#N/A,FALSE,"3CJ";#N/A,#N/A,FALSE,"3CN";#N/A,#N/A,FALSE,"3CP";#N/A,#N/A,FALSE,"3A"}</definedName>
    <definedName name="_old3" hidden="1">{#N/A,#N/A,FALSE,"Summary";#N/A,#N/A,FALSE,"3TJ";#N/A,#N/A,FALSE,"3TN";#N/A,#N/A,FALSE,"3TP";#N/A,#N/A,FALSE,"3SJ";#N/A,#N/A,FALSE,"3CJ";#N/A,#N/A,FALSE,"3CN";#N/A,#N/A,FALSE,"3CP";#N/A,#N/A,FALSE,"3A"}</definedName>
    <definedName name="_old5" localSheetId="1" hidden="1">{#N/A,#N/A,FALSE,"Summary";#N/A,#N/A,FALSE,"3TJ";#N/A,#N/A,FALSE,"3TN";#N/A,#N/A,FALSE,"3TP";#N/A,#N/A,FALSE,"3SJ";#N/A,#N/A,FALSE,"3CJ";#N/A,#N/A,FALSE,"3CN";#N/A,#N/A,FALSE,"3CP";#N/A,#N/A,FALSE,"3A"}</definedName>
    <definedName name="_old5" hidden="1">{#N/A,#N/A,FALSE,"Summary";#N/A,#N/A,FALSE,"3TJ";#N/A,#N/A,FALSE,"3TN";#N/A,#N/A,FALSE,"3TP";#N/A,#N/A,FALSE,"3SJ";#N/A,#N/A,FALSE,"3CJ";#N/A,#N/A,FALSE,"3CN";#N/A,#N/A,FALSE,"3CP";#N/A,#N/A,FALSE,"3A"}</definedName>
    <definedName name="_old7" localSheetId="1" hidden="1">{#N/A,#N/A,FALSE,"Summary";#N/A,#N/A,FALSE,"3TJ";#N/A,#N/A,FALSE,"3TN";#N/A,#N/A,FALSE,"3TP";#N/A,#N/A,FALSE,"3SJ";#N/A,#N/A,FALSE,"3CJ";#N/A,#N/A,FALSE,"3CN";#N/A,#N/A,FALSE,"3CP";#N/A,#N/A,FALSE,"3A"}</definedName>
    <definedName name="_old7" hidden="1">{#N/A,#N/A,FALSE,"Summary";#N/A,#N/A,FALSE,"3TJ";#N/A,#N/A,FALSE,"3TN";#N/A,#N/A,FALSE,"3TP";#N/A,#N/A,FALSE,"3SJ";#N/A,#N/A,FALSE,"3CJ";#N/A,#N/A,FALSE,"3CN";#N/A,#N/A,FALSE,"3CP";#N/A,#N/A,FALSE,"3A"}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po1">#REF!</definedName>
    <definedName name="_po2">#REF!</definedName>
    <definedName name="_PR1">#REF!</definedName>
    <definedName name="_PR2">#REF!</definedName>
    <definedName name="_pv2222" localSheetId="1" hidden="1">{#N/A,#N/A,FALSE,"subcontract"}</definedName>
    <definedName name="_pv2222" hidden="1">{#N/A,#N/A,FALSE,"subcontract"}</definedName>
    <definedName name="_r">#REF!</definedName>
    <definedName name="_R1">#REF!</definedName>
    <definedName name="_R2">#REF!</definedName>
    <definedName name="_rd1">#REF!</definedName>
    <definedName name="_rd2">#REF!</definedName>
    <definedName name="_rd3">#REF!</definedName>
    <definedName name="_rd4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sp2222" localSheetId="1" hidden="1">{#N/A,#N/A,FALSE,"subcontract"}</definedName>
    <definedName name="_sp2222" hidden="1">{#N/A,#N/A,FALSE,"subcontract"}</definedName>
    <definedName name="_Stk13">#REF!</definedName>
    <definedName name="_Stk14">#REF!</definedName>
    <definedName name="_Stk19">#REF!</definedName>
    <definedName name="_Stk22">#REF!</definedName>
    <definedName name="_Stk23">#REF!</definedName>
    <definedName name="_Stk27">#REF!</definedName>
    <definedName name="_Stk28">#REF!</definedName>
    <definedName name="_Stk29">#REF!</definedName>
    <definedName name="_Stk3">#REF!</definedName>
    <definedName name="_Stk31">#REF!</definedName>
    <definedName name="_Stk32">#REF!</definedName>
    <definedName name="_Stk33">#REF!</definedName>
    <definedName name="_Stk34">#REF!</definedName>
    <definedName name="_Stk38">#REF!</definedName>
    <definedName name="_Stk40">#REF!</definedName>
    <definedName name="_Stk45">#REF!</definedName>
    <definedName name="_Stk46">#REF!</definedName>
    <definedName name="_Stk47">#REF!</definedName>
    <definedName name="_Stk48">#REF!</definedName>
    <definedName name="_Stk49">#REF!</definedName>
    <definedName name="_Stk50">#REF!</definedName>
    <definedName name="_Stk51">#REF!</definedName>
    <definedName name="_Stk55">#REF!</definedName>
    <definedName name="_Stk56">#REF!</definedName>
    <definedName name="_Stk57">#REF!</definedName>
    <definedName name="_Stk58">#REF!</definedName>
    <definedName name="_Stk59">#REF!</definedName>
    <definedName name="_Stk6">#REF!</definedName>
    <definedName name="_Stk60">#REF!</definedName>
    <definedName name="_Stk61">#REF!</definedName>
    <definedName name="_Stk62">#REF!</definedName>
    <definedName name="_Stk63">#REF!</definedName>
    <definedName name="_Stk64">#REF!</definedName>
    <definedName name="_Stk65">#REF!</definedName>
    <definedName name="_Stk66">#REF!</definedName>
    <definedName name="_Stk67">#REF!</definedName>
    <definedName name="_Stk68">#REF!</definedName>
    <definedName name="_Stk69">#REF!</definedName>
    <definedName name="_Stk70">#REF!</definedName>
    <definedName name="_Stk71">#REF!</definedName>
    <definedName name="_Stk72">#REF!</definedName>
    <definedName name="_Stk73">#REF!</definedName>
    <definedName name="_Stk74">#REF!</definedName>
    <definedName name="_Stk75">#REF!</definedName>
    <definedName name="_Stk76">#REF!</definedName>
    <definedName name="_Stk77">#REF!</definedName>
    <definedName name="_Stk78">#REF!</definedName>
    <definedName name="_Stk79">#REF!</definedName>
    <definedName name="_Stk80">#REF!</definedName>
    <definedName name="_SUM1" localSheetId="1" hidden="1">{#N/A,#N/A,FALSE,"단축1";#N/A,#N/A,FALSE,"단축2";#N/A,#N/A,FALSE,"단축3";#N/A,#N/A,FALSE,"장축";#N/A,#N/A,FALSE,"4WD"}</definedName>
    <definedName name="_SUM1" hidden="1">{#N/A,#N/A,FALSE,"단축1";#N/A,#N/A,FALSE,"단축2";#N/A,#N/A,FALSE,"단축3";#N/A,#N/A,FALSE,"장축";#N/A,#N/A,FALSE,"4WD"}</definedName>
    <definedName name="_tab1">#REF!</definedName>
    <definedName name="_Table1_In1" hidden="1">#REF!</definedName>
    <definedName name="_Table2_In1" hidden="1">#REF!</definedName>
    <definedName name="_tcl1">#REF!</definedName>
    <definedName name="_tcl2">#REF!</definedName>
    <definedName name="_TEN1">#REF!</definedName>
    <definedName name="_TEN2">#REF!</definedName>
    <definedName name="_v1">#REF!</definedName>
    <definedName name="_w1">#REF!</definedName>
    <definedName name="_wrn222" localSheetId="1" hidden="1">{#N/A,#N/A,FALSE,"subcontract"}</definedName>
    <definedName name="_wrn222" hidden="1">{#N/A,#N/A,FALSE,"subcontract"}</definedName>
    <definedName name="_wv1">#REF!</definedName>
    <definedName name="_wv2">#REF!</definedName>
    <definedName name="_wv3">#REF!</definedName>
    <definedName name="_x1">#REF!</definedName>
    <definedName name="_x2">#REF!</definedName>
    <definedName name="_x3">#REF!</definedName>
    <definedName name="_x4">#REF!</definedName>
    <definedName name="_x5">#REF!</definedName>
    <definedName name="_y1">#REF!</definedName>
    <definedName name="_y2">#REF!</definedName>
    <definedName name="_y3">#REF!</definedName>
    <definedName name="_y4">#REF!</definedName>
    <definedName name="_y5">#REF!</definedName>
    <definedName name="_yb1">#REF!</definedName>
    <definedName name="_yb2">#REF!</definedName>
    <definedName name="a">#REF!</definedName>
    <definedName name="A_">#REF!</definedName>
    <definedName name="a_f">#REF!</definedName>
    <definedName name="a_finire">#REF!</definedName>
    <definedName name="A0">#REF!</definedName>
    <definedName name="A12Drehzahl">#REF!</definedName>
    <definedName name="A12Hz">#REF!</definedName>
    <definedName name="A12Leistung">#REF!</definedName>
    <definedName name="A12Spannung">#REF!</definedName>
    <definedName name="A12SteuerungStk">#REF!</definedName>
    <definedName name="A12SteuerungT">#REF!</definedName>
    <definedName name="A12Stk">#REF!</definedName>
    <definedName name="A12Type">#REF!</definedName>
    <definedName name="A13Drehzahl">#REF!</definedName>
    <definedName name="A13Hz">#REF!</definedName>
    <definedName name="A13Leistung">#REF!</definedName>
    <definedName name="A13Spannung">#REF!</definedName>
    <definedName name="A13SteuerungStk">#REF!</definedName>
    <definedName name="A13SteuerungT">#REF!</definedName>
    <definedName name="A13Stk">#REF!</definedName>
    <definedName name="A13Type">#REF!</definedName>
    <definedName name="A14Drehzahl">#REF!</definedName>
    <definedName name="A14Hz">#REF!</definedName>
    <definedName name="A14Leistung">#REF!</definedName>
    <definedName name="A14Spannung">#REF!</definedName>
    <definedName name="A14SteuerungStk">#REF!</definedName>
    <definedName name="A14SteuerungT">#REF!</definedName>
    <definedName name="A14Stk">#REF!</definedName>
    <definedName name="A14Type">#REF!</definedName>
    <definedName name="A15Drehzahl">#REF!</definedName>
    <definedName name="A15Hz">#REF!</definedName>
    <definedName name="A15Leistung">#REF!</definedName>
    <definedName name="A15Spannung">#REF!</definedName>
    <definedName name="A15SteuerungStk">#REF!</definedName>
    <definedName name="A15SteuerungT">#REF!</definedName>
    <definedName name="A15Stk">#REF!</definedName>
    <definedName name="A15Type">#REF!</definedName>
    <definedName name="A16Drehzahl">#REF!</definedName>
    <definedName name="A16Hz">#REF!</definedName>
    <definedName name="A16Leistung">#REF!</definedName>
    <definedName name="A16Spannung">#REF!</definedName>
    <definedName name="A16SteuerungStk">#REF!</definedName>
    <definedName name="A16SteuerungT">#REF!</definedName>
    <definedName name="A16Stk">#REF!</definedName>
    <definedName name="A16Type">#REF!</definedName>
    <definedName name="A17Drehzahl">#REF!</definedName>
    <definedName name="A17Hz">#REF!</definedName>
    <definedName name="A17Leistung">#REF!</definedName>
    <definedName name="A17Spannung">#REF!</definedName>
    <definedName name="A17SteuerungStk">#REF!</definedName>
    <definedName name="A17SteuerungT">#REF!</definedName>
    <definedName name="A17Stk">#REF!</definedName>
    <definedName name="A17Type">#REF!</definedName>
    <definedName name="A18Drehzahl">#REF!</definedName>
    <definedName name="A18Hz">#REF!</definedName>
    <definedName name="A18Leistung">#REF!</definedName>
    <definedName name="A18Spannung">#REF!</definedName>
    <definedName name="A18SteuerungStk">#REF!</definedName>
    <definedName name="A18SteuerungT">#REF!</definedName>
    <definedName name="A18Stk">#REF!</definedName>
    <definedName name="A18Type">#REF!</definedName>
    <definedName name="A19Drehzahl">#REF!</definedName>
    <definedName name="A19Hz">#REF!</definedName>
    <definedName name="A19Leistung">#REF!</definedName>
    <definedName name="A19Spannung">#REF!</definedName>
    <definedName name="A19SteuerungStk">#REF!</definedName>
    <definedName name="A19SteuerungT">#REF!</definedName>
    <definedName name="A19Stk">#REF!</definedName>
    <definedName name="A19Type">#REF!</definedName>
    <definedName name="A1Drehzahl">#REF!</definedName>
    <definedName name="A1Hz">#REF!</definedName>
    <definedName name="A1Leistung">#REF!</definedName>
    <definedName name="A1Spannung">#REF!</definedName>
    <definedName name="A1SteuerungStk">#REF!</definedName>
    <definedName name="A1SteuerungType">#REF!</definedName>
    <definedName name="A1Stk">#REF!</definedName>
    <definedName name="A1Type">#REF!</definedName>
    <definedName name="A20Drehzahl">#REF!</definedName>
    <definedName name="A20Hz">#REF!</definedName>
    <definedName name="A20Leistung">#REF!</definedName>
    <definedName name="A20Spannung">#REF!</definedName>
    <definedName name="A20SteuerungStk">#REF!</definedName>
    <definedName name="A20SteuerungT">#REF!</definedName>
    <definedName name="A20Stk">#REF!</definedName>
    <definedName name="A20Type">#REF!</definedName>
    <definedName name="A21Drehzahl">#REF!</definedName>
    <definedName name="A21Hz">#REF!</definedName>
    <definedName name="A21Leistung">#REF!</definedName>
    <definedName name="A21Spannung">#REF!</definedName>
    <definedName name="A21SteuerungStk">#REF!</definedName>
    <definedName name="A21SteuerungT">#REF!</definedName>
    <definedName name="A21Stk">#REF!</definedName>
    <definedName name="A21Type">#REF!</definedName>
    <definedName name="A22Drehzahl">#REF!</definedName>
    <definedName name="A22Hz">#REF!</definedName>
    <definedName name="A22Leistung">#REF!</definedName>
    <definedName name="A22Spannung">#REF!</definedName>
    <definedName name="A22SteuerungStk">#REF!</definedName>
    <definedName name="A22SteuerungT">#REF!</definedName>
    <definedName name="A22Stk">#REF!</definedName>
    <definedName name="A22Type">#REF!</definedName>
    <definedName name="A23Drehzahl">#REF!</definedName>
    <definedName name="A23Hz">#REF!</definedName>
    <definedName name="A23Leistung">#REF!</definedName>
    <definedName name="A23Spannung">#REF!</definedName>
    <definedName name="A23SteuerungStk">#REF!</definedName>
    <definedName name="A23SteuerungT">#REF!</definedName>
    <definedName name="A23Stk">#REF!</definedName>
    <definedName name="A23Type">#REF!</definedName>
    <definedName name="A24Drehzahl">#REF!</definedName>
    <definedName name="A24Hz">#REF!</definedName>
    <definedName name="A24Leistung">#REF!</definedName>
    <definedName name="A24Spannung">#REF!</definedName>
    <definedName name="A24SteuerungStk">#REF!</definedName>
    <definedName name="A24SteuerungT">#REF!</definedName>
    <definedName name="A24Stk">#REF!</definedName>
    <definedName name="A24Type">#REF!</definedName>
    <definedName name="A25Drehzahl">#REF!</definedName>
    <definedName name="A25Hz">#REF!</definedName>
    <definedName name="A25Leistung">#REF!</definedName>
    <definedName name="A25Spannung">#REF!</definedName>
    <definedName name="A25SteuerungStk">#REF!</definedName>
    <definedName name="A25SteuerungT">#REF!</definedName>
    <definedName name="A25Stk">#REF!</definedName>
    <definedName name="A25Type">#REF!</definedName>
    <definedName name="A2Drehzahl">#REF!</definedName>
    <definedName name="A2Hz">#REF!</definedName>
    <definedName name="A2Leistung">#REF!</definedName>
    <definedName name="A2Spannung">#REF!</definedName>
    <definedName name="A2SteuerungStk">#REF!</definedName>
    <definedName name="A2SteuerungType">#REF!</definedName>
    <definedName name="A2Stk">#REF!</definedName>
    <definedName name="A2Type">#REF!</definedName>
    <definedName name="A3.3.">#REF!</definedName>
    <definedName name="A4Drehzahl">#REF!</definedName>
    <definedName name="A4Hz">#REF!</definedName>
    <definedName name="A4Leistung">#REF!</definedName>
    <definedName name="A4Spannung">#REF!</definedName>
    <definedName name="A4SteuerungStk">#REF!</definedName>
    <definedName name="A4SteuerungType">#REF!</definedName>
    <definedName name="A4Stk">#REF!</definedName>
    <definedName name="A4Type">#REF!</definedName>
    <definedName name="aa">#REF!</definedName>
    <definedName name="ää">#REF!</definedName>
    <definedName name="aaa">#REF!</definedName>
    <definedName name="äää">#REF!</definedName>
    <definedName name="aaaa">#REF!</definedName>
    <definedName name="aaaaa">#REF!,#REF!,#REF!,#REF!,#REF!,#REF!,#REF!</definedName>
    <definedName name="aasas" hidden="1">#REF!</definedName>
    <definedName name="AB">#REF!,#REF!,#REF!</definedName>
    <definedName name="ABC">#REF!</definedName>
    <definedName name="abs_power">#REF!</definedName>
    <definedName name="ABSORBED_POWER">#REF!</definedName>
    <definedName name="ACB" localSheetId="1" hidden="1">{#N/A,#N/A,FALSE,"단축1";#N/A,#N/A,FALSE,"단축2";#N/A,#N/A,FALSE,"단축3";#N/A,#N/A,FALSE,"장축";#N/A,#N/A,FALSE,"4WD"}</definedName>
    <definedName name="ACB" hidden="1">{#N/A,#N/A,FALSE,"단축1";#N/A,#N/A,FALSE,"단축2";#N/A,#N/A,FALSE,"단축3";#N/A,#N/A,FALSE,"장축";#N/A,#N/A,FALSE,"4WD"}</definedName>
    <definedName name="AccessDatabase" hidden="1">"C:\생산판매\long98\9802장판원본.mdb"</definedName>
    <definedName name="Accrual">#REF!</definedName>
    <definedName name="ACOSTBREAKDOWNONLOADERHAULERRATIO">#REF!</definedName>
    <definedName name="actionstatus">#REF!</definedName>
    <definedName name="Activities">#REF!</definedName>
    <definedName name="Actual_start_Date">#REF!</definedName>
    <definedName name="Actuals">#REF!</definedName>
    <definedName name="ACwvu.GAITHERSBURG._.OFFICE." hidden="1">#REF!</definedName>
    <definedName name="ACwvu.garo_graph." hidden="1">#REF!</definedName>
    <definedName name="ACwvu.garo_personnel." hidden="1">#REF!</definedName>
    <definedName name="ACwvu.headcount._.change." hidden="1">#REF!</definedName>
    <definedName name="ACwvu.personnel._.by._.location." hidden="1">#REF!</definedName>
    <definedName name="ad" hidden="1">#REF!</definedName>
    <definedName name="Adam_C" hidden="1">#REF!</definedName>
    <definedName name="adicional_eixo">#REF!</definedName>
    <definedName name="ADSDF" localSheetId="1" hidden="1">{#N/A,#N/A,TRUE,"Y생산";#N/A,#N/A,TRUE,"Y판매";#N/A,#N/A,TRUE,"Y총물량";#N/A,#N/A,TRUE,"Y능력";#N/A,#N/A,TRUE,"YKD"}</definedName>
    <definedName name="ADSDF" hidden="1">{#N/A,#N/A,TRUE,"Y생산";#N/A,#N/A,TRUE,"Y판매";#N/A,#N/A,TRUE,"Y총물량";#N/A,#N/A,TRUE,"Y능력";#N/A,#N/A,TRUE,"YKD"}</definedName>
    <definedName name="AEGSADFG" localSheetId="1" hidden="1">{#N/A,#N/A,FALSE,"subcontract"}</definedName>
    <definedName name="AEGSADFG" hidden="1">{#N/A,#N/A,FALSE,"subcontract"}</definedName>
    <definedName name="af" hidden="1">#REF!</definedName>
    <definedName name="AFINALCOSTBREAKDOWN">#REF!</definedName>
    <definedName name="ag" hidden="1">#REF!</definedName>
    <definedName name="AH">#REF!,#REF!,#REF!,#REF!,#REF!,#REF!,#REF!,#REF!,#REF!,#REF!,#REF!,#REF!,#REF!</definedName>
    <definedName name="ahrck1" localSheetId="1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ahrck1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al">#REF!</definedName>
    <definedName name="alf">#REF!</definedName>
    <definedName name="alkdj" localSheetId="1" hidden="1">{#N/A,#N/A,FALSE,"Matrix";#N/A,#N/A,FALSE,"Executive";#N/A,#N/A,FALSE,"Summary"}</definedName>
    <definedName name="alkdj" hidden="1">{#N/A,#N/A,FALSE,"Matrix";#N/A,#N/A,FALSE,"Executive";#N/A,#N/A,FALSE,"Summary"}</definedName>
    <definedName name="All">#REF!</definedName>
    <definedName name="alladata">#REF!</definedName>
    <definedName name="An">#REF!</definedName>
    <definedName name="ANNUAL_CAP">#REF!</definedName>
    <definedName name="anscount" hidden="1">1</definedName>
    <definedName name="Antrieb1">#REF!</definedName>
    <definedName name="Antrieb12">#REF!</definedName>
    <definedName name="Antrieb13">#REF!</definedName>
    <definedName name="Antrieb14">#REF!</definedName>
    <definedName name="Antrieb15">#REF!</definedName>
    <definedName name="Antrieb16">#REF!</definedName>
    <definedName name="Antrieb17">#REF!</definedName>
    <definedName name="Antrieb18">#REF!</definedName>
    <definedName name="Antrieb19">#REF!</definedName>
    <definedName name="Antrieb2">#REF!</definedName>
    <definedName name="Antrieb20">#REF!</definedName>
    <definedName name="Antrieb21">#REF!</definedName>
    <definedName name="Antrieb22">#REF!</definedName>
    <definedName name="Antrieb23">#REF!</definedName>
    <definedName name="Antrieb24">#REF!</definedName>
    <definedName name="Antrieb25">#REF!</definedName>
    <definedName name="Antrieb4">#REF!</definedName>
    <definedName name="ao">#REF!</definedName>
    <definedName name="Ap">#REF!</definedName>
    <definedName name="apex1">#REF!</definedName>
    <definedName name="apex2">#REF!</definedName>
    <definedName name="apndx" localSheetId="1" hidden="1">{"'Appendix 3 Currency'!$A$1:$U$96"}</definedName>
    <definedName name="apndx" hidden="1">{"'Appendix 3 Currency'!$A$1:$U$96"}</definedName>
    <definedName name="Area_List">#REF!</definedName>
    <definedName name="as">#REF!</definedName>
    <definedName name="ASDFDS" localSheetId="1" hidden="1">{"'Appendix 3 Currency'!$A$1:$U$96"}</definedName>
    <definedName name="ASDFDS" hidden="1">{"'Appendix 3 Currency'!$A$1:$U$96"}</definedName>
    <definedName name="asdfds1" localSheetId="1" hidden="1">{"'Appendix 3 Currency'!$A$1:$U$96"}</definedName>
    <definedName name="asdfds1" hidden="1">{"'Appendix 3 Currency'!$A$1:$U$96"}</definedName>
    <definedName name="asdfds2" localSheetId="1" hidden="1">{"'Appendix 3 Currency'!$A$1:$U$96"}</definedName>
    <definedName name="asdfds2" hidden="1">{"'Appendix 3 Currency'!$A$1:$U$96"}</definedName>
    <definedName name="ATABULATIONSUBMITTEDTOJIMCURRIE">#REF!</definedName>
    <definedName name="AUD">#REF!</definedName>
    <definedName name="AV" localSheetId="1" hidden="1">{#N/A,#N/A,FALSE,"subcontract"}</definedName>
    <definedName name="AV" hidden="1">{#N/A,#N/A,FALSE,"subcontract"}</definedName>
    <definedName name="AvalibleWeeks">#REF!</definedName>
    <definedName name="AVERAGECOSTPERLBCU">#REF!</definedName>
    <definedName name="aw">#REF!</definedName>
    <definedName name="AX">#REF!</definedName>
    <definedName name="B">#REF!</definedName>
    <definedName name="BA">#REF!</definedName>
    <definedName name="BACKHOECOST">#REF!</definedName>
    <definedName name="BankWest">#REF!</definedName>
    <definedName name="baslev">#REF!</definedName>
    <definedName name="baslevs">#REF!</definedName>
    <definedName name="bb">#REF!</definedName>
    <definedName name="BBB">#REF!,#REF!,#REF!,#REF!,#REF!,#REF!,#REF!,#REF!</definedName>
    <definedName name="bbbb">#REF!,#REF!,#REF!,#REF!,#REF!,#REF!</definedName>
    <definedName name="bbbbb">#REF!,#REF!,#REF!,#REF!,#REF!,#REF!,#REF!,#REF!,#REF!,#REF!,#REF!,#REF!,#REF!,#REF!,#REF!,#REF!,#REF!,#REF!,#REF!,#REF!</definedName>
    <definedName name="bbf">#REF!</definedName>
    <definedName name="BC">#REF!</definedName>
    <definedName name="BCM">#REF!</definedName>
    <definedName name="be">#REF!</definedName>
    <definedName name="BEAM">#REF!,#REF!,#REF!,#REF!,#REF!,#REF!,#REF!,#REF!,#REF!,#REF!,#REF!,#REF!,#REF!,#REF!,#REF!,#REF!,#REF!,#REF!,#REF!,#REF!,#REF!,#REF!,#REF!</definedName>
    <definedName name="bef">#REF!</definedName>
    <definedName name="belt_ID">#REF!</definedName>
    <definedName name="beta">#REF!</definedName>
    <definedName name="BF">#REF!</definedName>
    <definedName name="bid">#REF!</definedName>
    <definedName name="BIN_501B103_104">#REF!</definedName>
    <definedName name="BIN_513B101">#REF!</definedName>
    <definedName name="BIN_513B103">#REF!</definedName>
    <definedName name="BLASTCOSTALL">#REF!</definedName>
    <definedName name="BLASTCOSTNEW">#REF!</definedName>
    <definedName name="BLASTINGCOST">#REF!</definedName>
    <definedName name="BMDCC">#REF!</definedName>
    <definedName name="BMDCC2">#REF!</definedName>
    <definedName name="BMDCCDetailConcrete">#REF!</definedName>
    <definedName name="BMDCostCodesDescription">#REF!</definedName>
    <definedName name="BNE">50</definedName>
    <definedName name="BNE_MESSAGES_HIDDEN" hidden="1">#REF!</definedName>
    <definedName name="Boilermaker">#REF!</definedName>
    <definedName name="BR">#REF!</definedName>
    <definedName name="Brake">#REF!</definedName>
    <definedName name="bri">#REF!</definedName>
    <definedName name="Bricklayer">#REF!</definedName>
    <definedName name="Bs">#REF!</definedName>
    <definedName name="Budget_cuml">#REF!</definedName>
    <definedName name="BURDEN">#REF!</definedName>
    <definedName name="bw">#REF!</definedName>
    <definedName name="CAD">#REF!</definedName>
    <definedName name="candi" localSheetId="1" hidden="1">{"'Appendix 3 Currency'!$A$1:$U$96"}</definedName>
    <definedName name="candi" hidden="1">{"'Appendix 3 Currency'!$A$1:$U$96"}</definedName>
    <definedName name="CAPACITY">#REF!</definedName>
    <definedName name="carlos" localSheetId="1" hidden="1">{#N/A,#N/A,FALSE,"Matrix";#N/A,#N/A,FALSE,"Executive";#N/A,#N/A,FALSE,"Summary"}</definedName>
    <definedName name="carlos" hidden="1">{#N/A,#N/A,FALSE,"Matrix";#N/A,#N/A,FALSE,"Executive";#N/A,#N/A,FALSE,"Summary"}</definedName>
    <definedName name="Carpenter">#REF!</definedName>
    <definedName name="CAT16HCOST">#REF!</definedName>
    <definedName name="CAT854COST">#REF!</definedName>
    <definedName name="CAT994COST">#REF!</definedName>
    <definedName name="CATD10RCOST">#REF!</definedName>
    <definedName name="CATS.Project" hidden="1">"S1074"</definedName>
    <definedName name="CBWorkbookPriority" hidden="1">-113839979</definedName>
    <definedName name="CC">#REF!,#REF!,#REF!</definedName>
    <definedName name="ccc">#REF!</definedName>
    <definedName name="cccc">#REF!,#REF!,#REF!,#REF!,#REF!,#REF!,#REF!,#REF!,#REF!,#REF!,#REF!,#REF!,#REF!,#REF!,#REF!,#REF!,#REF!,#REF!,#REF!,#REF!,#REF!,#REF!</definedName>
    <definedName name="ccccc">#REF!,#REF!,#REF!,#REF!,#REF!,#REF!,#REF!</definedName>
    <definedName name="cdet1">#REF!</definedName>
    <definedName name="cdet2">#REF!</definedName>
    <definedName name="cdet3">#REF!</definedName>
    <definedName name="Cdyn">#REF!</definedName>
    <definedName name="Ce">#REF!</definedName>
    <definedName name="Change_Requests">#REF!</definedName>
    <definedName name="charge">#REF!</definedName>
    <definedName name="Civil">#REF!</definedName>
    <definedName name="class_sal_grade" hidden="1">#REF!</definedName>
    <definedName name="Client">#REF!</definedName>
    <definedName name="CN">#REF!</definedName>
    <definedName name="co">#REF!</definedName>
    <definedName name="CoA">#REF!</definedName>
    <definedName name="cofi">#REF!</definedName>
    <definedName name="Commodity_Tbl">#REF!</definedName>
    <definedName name="CommodityCodes" hidden="1">#REF!</definedName>
    <definedName name="Commoditylist">#REF!</definedName>
    <definedName name="Concreter">#REF!</definedName>
    <definedName name="Conti">#REF!</definedName>
    <definedName name="Contingency">#REF!</definedName>
    <definedName name="ContingencyTotal">#REF!</definedName>
    <definedName name="CONVEYOR_402C001_3">#REF!</definedName>
    <definedName name="CONVEYOR_402C005">#REF!</definedName>
    <definedName name="CONVEYOR_402C006">#REF!</definedName>
    <definedName name="CONVEYOR_501C001">#REF!</definedName>
    <definedName name="CONVEYOR_501C002">#REF!</definedName>
    <definedName name="CONVEYOR_501C003">#REF!</definedName>
    <definedName name="CONVEYOR_501C005">#REF!</definedName>
    <definedName name="CONVEYOR_501C006">#REF!</definedName>
    <definedName name="CONVEYOR_513C001">#REF!</definedName>
    <definedName name="CONVEYOR_513C003">#REF!</definedName>
    <definedName name="coo">#REF!</definedName>
    <definedName name="cos">#REF!</definedName>
    <definedName name="Cost_Clarification">#REF!</definedName>
    <definedName name="Cost_Driver">#REF!</definedName>
    <definedName name="COST_HPSUMMARY">#REF!</definedName>
    <definedName name="Cost_Summary">#REF!</definedName>
    <definedName name="COSTAREAS">#REF!</definedName>
    <definedName name="Costbook">#REF!</definedName>
    <definedName name="COSTCENTREBREAKDOWN">#REF!</definedName>
    <definedName name="COSTSUMMARY">#REF!</definedName>
    <definedName name="COSTSUMMARY12.1">#REF!</definedName>
    <definedName name="Countries">#REF!</definedName>
    <definedName name="coversect1">#REF!</definedName>
    <definedName name="coversect10">#REF!</definedName>
    <definedName name="coversect11">#REF!</definedName>
    <definedName name="coversect12">#REF!</definedName>
    <definedName name="coversect13">#REF!</definedName>
    <definedName name="coversect14">#REF!</definedName>
    <definedName name="coversect15">#REF!</definedName>
    <definedName name="coversect2">#REF!</definedName>
    <definedName name="coversect3">#REF!</definedName>
    <definedName name="coversect4">#REF!</definedName>
    <definedName name="coversect5">#REF!</definedName>
    <definedName name="coversect6">#REF!</definedName>
    <definedName name="coversect7">#REF!</definedName>
    <definedName name="coversect8">#REF!</definedName>
    <definedName name="coversect9">#REF!</definedName>
    <definedName name="CPOW">#REF!</definedName>
    <definedName name="CR">#REF!</definedName>
    <definedName name="CREW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tsumm">#REF!</definedName>
    <definedName name="csumm1">#REF!</definedName>
    <definedName name="csumm2">#REF!</definedName>
    <definedName name="csumm3">#REF!</definedName>
    <definedName name="csumm4">#REF!</definedName>
    <definedName name="csumm5">#REF!</definedName>
    <definedName name="csv">#REF!</definedName>
    <definedName name="Currency">#REF!</definedName>
    <definedName name="CUSRED">#REF!</definedName>
    <definedName name="Customer">#REF!</definedName>
    <definedName name="cute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2" localSheetId="1" hidden="1">{#N/A,#N/A,FALSE,"Matrix";#N/A,#N/A,FALSE,"Executive";#N/A,#N/A,FALSE,"Summary"}</definedName>
    <definedName name="cute12" hidden="1">{#N/A,#N/A,FALSE,"Matrix";#N/A,#N/A,FALSE,"Executive";#N/A,#N/A,FALSE,"Summary"}</definedName>
    <definedName name="cute2" localSheetId="1" hidden="1">{#N/A,#N/A,FALSE,"E-1";#N/A,#N/A,FALSE,"E-2";#N/A,#N/A,FALSE,"F-1";#N/A,#N/A,FALSE,"F-2";#N/A,#N/A,FALSE,"F-3";#N/A,#N/A,FALSE,"F-4";#N/A,#N/A,FALSE,"F-5";#N/A,#N/A,FALSE,"F-6";#N/A,#N/A,FALSE,"Matrix"}</definedName>
    <definedName name="cute2" hidden="1">{#N/A,#N/A,FALSE,"E-1";#N/A,#N/A,FALSE,"E-2";#N/A,#N/A,FALSE,"F-1";#N/A,#N/A,FALSE,"F-2";#N/A,#N/A,FALSE,"F-3";#N/A,#N/A,FALSE,"F-4";#N/A,#N/A,FALSE,"F-5";#N/A,#N/A,FALSE,"F-6";#N/A,#N/A,FALSE,"Matrix"}</definedName>
    <definedName name="cute3" localSheetId="1" hidden="1">{#N/A,#N/A,FALSE,"Matrix";#N/A,#N/A,FALSE,"Executive";#N/A,#N/A,FALSE,"Summary"}</definedName>
    <definedName name="cute3" hidden="1">{#N/A,#N/A,FALSE,"Matrix";#N/A,#N/A,FALSE,"Executive";#N/A,#N/A,FALSE,"Summary"}</definedName>
    <definedName name="cute4" localSheetId="1" hidden="1">{#N/A,#N/A,FALSE,"Matrix";#N/A,#N/A,FALSE,"Executive";#N/A,#N/A,FALSE,"Summary"}</definedName>
    <definedName name="cute4" hidden="1">{#N/A,#N/A,FALSE,"Matrix";#N/A,#N/A,FALSE,"Executive";#N/A,#N/A,FALSE,"Summary"}</definedName>
    <definedName name="cute5" localSheetId="1" hidden="1">{"ARA1",#N/A,FALSE,"ENG-ARA";"ARAhours",#N/A,FALSE,"ENG-ARA";"ARA$",#N/A,FALSE,"ENG-ARA"}</definedName>
    <definedName name="cute5" hidden="1">{"ARA1",#N/A,FALSE,"ENG-ARA";"ARAhours",#N/A,FALSE,"ENG-ARA";"ARA$",#N/A,FALSE,"ENG-ARA"}</definedName>
    <definedName name="cute6" localSheetId="1" hidden="1">{"bechtel1",#N/A,TRUE,"BECHTEL";"bechtelhours",#N/A,TRUE,"BECHTEL";"bechtel$",#N/A,TRUE,"BECHTEL"}</definedName>
    <definedName name="cute6" hidden="1">{"bechtel1",#N/A,TRUE,"BECHTEL";"bechtelhours",#N/A,TRUE,"BECHTEL";"bechtel$",#N/A,TRUE,"BECHTEL"}</definedName>
    <definedName name="cute7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8" localSheetId="1" hidden="1">{#N/A,#N/A,FALSE,"E-1";#N/A,#N/A,FALSE,"E-2";#N/A,#N/A,FALSE,"F-1";#N/A,#N/A,FALSE,"F-2";#N/A,#N/A,FALSE,"F-3";#N/A,#N/A,FALSE,"F-4";#N/A,#N/A,FALSE,"F-5";#N/A,#N/A,FALSE,"F-6";#N/A,#N/A,FALSE,"Matrix"}</definedName>
    <definedName name="cute8" hidden="1">{#N/A,#N/A,FALSE,"E-1";#N/A,#N/A,FALSE,"E-2";#N/A,#N/A,FALSE,"F-1";#N/A,#N/A,FALSE,"F-2";#N/A,#N/A,FALSE,"F-3";#N/A,#N/A,FALSE,"F-4";#N/A,#N/A,FALSE,"F-5";#N/A,#N/A,FALSE,"F-6";#N/A,#N/A,FALSE,"Matrix"}</definedName>
    <definedName name="cute9" localSheetId="1" hidden="1">{#N/A,#N/A,FALSE,"subcontract"}</definedName>
    <definedName name="cute9" hidden="1">{#N/A,#N/A,FALSE,"subcontract"}</definedName>
    <definedName name="cw">#REF!</definedName>
    <definedName name="Cwvu.ROLLING._.3._.MONTH._.FCST." hidden="1">#REF!,#REF!</definedName>
    <definedName name="CYCLETIMES">#REF!</definedName>
    <definedName name="CYCLONE_SUPPORT">#REF!</definedName>
    <definedName name="CYLI">#REF!</definedName>
    <definedName name="d">#REF!</definedName>
    <definedName name="Da">#REF!</definedName>
    <definedName name="DA_Fittings">#REF!</definedName>
    <definedName name="DA_Pipeline">#REF!</definedName>
    <definedName name="dal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s">#REF!</definedName>
    <definedName name="dasda">#REF!</definedName>
    <definedName name="Data">#REF!</definedName>
    <definedName name="Data_AT">OFFSET(#REF!,0,0,COUNTA(#REF!),COUNTA(#REF!))</definedName>
    <definedName name="data8">#REF!</definedName>
    <definedName name="_xlnm.Database">#REF!</definedName>
    <definedName name="datadetails" localSheetId="1" hidden="1">{"datadetail",#N/A,FALSE,"QFD"}</definedName>
    <definedName name="datadetails" hidden="1">{"datadetail",#N/A,FALSE,"QFD"}</definedName>
    <definedName name="dataprec">#REF!</definedName>
    <definedName name="Date">#REF!</definedName>
    <definedName name="DaysCycle">#REF!</definedName>
    <definedName name="DaysWeek">#REF!</definedName>
    <definedName name="DayworksItems">#REF!</definedName>
    <definedName name="db">#REF!</definedName>
    <definedName name="DBASE">#REF!</definedName>
    <definedName name="dbmin">#REF!</definedName>
    <definedName name="DBORE">#REF!</definedName>
    <definedName name="dbs_file_names">#REF!</definedName>
    <definedName name="dbs_sheet_names">#REF!</definedName>
    <definedName name="DBV">#REF!</definedName>
    <definedName name="Dd">#REF!</definedName>
    <definedName name="ddb">#REF!</definedName>
    <definedName name="ddd">#REF!</definedName>
    <definedName name="DDDD" hidden="1">#REF!</definedName>
    <definedName name="ddddd">#REF!</definedName>
    <definedName name="Ddr">#REF!</definedName>
    <definedName name="Ddt">#REF!</definedName>
    <definedName name="de">#REF!</definedName>
    <definedName name="dear">#REF!</definedName>
    <definedName name="del">#REF!</definedName>
    <definedName name="Deliverables">#REF!</definedName>
    <definedName name="delta_rapp_prec">#REF!</definedName>
    <definedName name="deltafat">#REF!</definedName>
    <definedName name="dem">#REF!</definedName>
    <definedName name="Demo">#REF!</definedName>
    <definedName name="Department">#REF!</definedName>
    <definedName name="Departments">#REF!</definedName>
    <definedName name="desc">#REF!</definedName>
    <definedName name="Desc_ThisFile">#REF!</definedName>
    <definedName name="Description">#REF!</definedName>
    <definedName name="Design_allowance">#REF!</definedName>
    <definedName name="DESIGNMOTORKW">#REF!</definedName>
    <definedName name="DEWATER">#REF!</definedName>
    <definedName name="DEWATERINGCOST">#REF!</definedName>
    <definedName name="DF">#N/A</definedName>
    <definedName name="DFDF">#REF!</definedName>
    <definedName name="df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dsf">#REF!</definedName>
    <definedName name="dfgfd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lt5">#REF!</definedName>
    <definedName name="dflt6">#REF!</definedName>
    <definedName name="dflt7">#REF!</definedName>
    <definedName name="Dg">#REF!</definedName>
    <definedName name="dgf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i">#REF!</definedName>
    <definedName name="dia">#REF!</definedName>
    <definedName name="dih">#REF!</definedName>
    <definedName name="Dii">#REF!</definedName>
    <definedName name="DISTRIBS">#REF!</definedName>
    <definedName name="Dk">#REF!</definedName>
    <definedName name="DM">#REF!</definedName>
    <definedName name="dmax">#REF!</definedName>
    <definedName name="dmin">#REF!</definedName>
    <definedName name="DMV">#REF!</definedName>
    <definedName name="dnflsl" hidden="1">#REF!</definedName>
    <definedName name="do">#REF!</definedName>
    <definedName name="Donvi">#REF!</definedName>
    <definedName name="Dp">#REF!</definedName>
    <definedName name="dr">#REF!</definedName>
    <definedName name="Dri">#REF!</definedName>
    <definedName name="DRILLCOST">#REF!</definedName>
    <definedName name="DRILLCOSTNEW">#REF!</definedName>
    <definedName name="DRILLPRODUCTIVITY">#REF!</definedName>
    <definedName name="DROD">#REF!</definedName>
    <definedName name="Dru">#REF!</definedName>
    <definedName name="ds">#REF!</definedName>
    <definedName name="dsfs">#REF!</definedName>
    <definedName name="DSG">#REF!</definedName>
    <definedName name="dsgdsfg">#REF!</definedName>
    <definedName name="Dsr">#REF!</definedName>
    <definedName name="DSRM">#REF!</definedName>
    <definedName name="dt">#REF!</definedName>
    <definedName name="DumColRate">#REF!</definedName>
    <definedName name="DumRowRate">#REF!</definedName>
    <definedName name="DV">#REF!</definedName>
    <definedName name="dvbg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W" localSheetId="1" hidden="1">{"'장비'!$A$3:$M$12"}</definedName>
    <definedName name="DW" hidden="1">{"'장비'!$A$3:$M$12"}</definedName>
    <definedName name="DWPRICE" hidden="1">#REF!</definedName>
    <definedName name="Dx">#REF!</definedName>
    <definedName name="dxl" localSheetId="1" hidden="1">{#N/A,#N/A,FALSE,"Matrix";#N/A,#N/A,FALSE,"Executive";#N/A,#N/A,FALSE,"Summary"}</definedName>
    <definedName name="dxl" hidden="1">{#N/A,#N/A,FALSE,"Matrix";#N/A,#N/A,FALSE,"Executive";#N/A,#N/A,FALSE,"Summary"}</definedName>
    <definedName name="e">#REF!</definedName>
    <definedName name="EarthworkHolding">#REF!</definedName>
    <definedName name="EDEIGHTH">#REF!</definedName>
    <definedName name="EDFIFTH">#REF!</definedName>
    <definedName name="EDFIRST">#REF!</definedName>
    <definedName name="EDFOURTH">#REF!</definedName>
    <definedName name="EDNINTH">#REF!</definedName>
    <definedName name="EDSECOND">#REF!</definedName>
    <definedName name="EDSEVENTH">#REF!</definedName>
    <definedName name="EDSIXTH">#REF!</definedName>
    <definedName name="EDTENTH">#REF!</definedName>
    <definedName name="EDTHIRD">#REF!</definedName>
    <definedName name="ee">#REF!</definedName>
    <definedName name="eee">#REF!</definedName>
    <definedName name="eeee">#REF!,#REF!,#REF!,#REF!,#REF!,#REF!,#REF!,#REF!,#REF!,#REF!,#REF!,#REF!,#REF!,#REF!,#REF!,#REF!,#REF!,#REF!,#REF!,#REF!,#REF!,#REF!,#REF!,#REF!,#REF!,#REF!</definedName>
    <definedName name="eeeee">#REF!,#REF!,#REF!,#REF!,#REF!,#REF!,#REF!,#REF!,#REF!,#REF!,#REF!,#REF!,#REF!,#REF!,#REF!,#REF!,#REF!,#REF!,#REF!,#REF!,#REF!,#REF!,#REF!,#REF!,#REF!,#REF!</definedName>
    <definedName name="EEStatus">#REF!</definedName>
    <definedName name="ef">#REF!</definedName>
    <definedName name="eixos">#REF!</definedName>
    <definedName name="EL">#REF!</definedName>
    <definedName name="Electrician">#REF!</definedName>
    <definedName name="ElectricianSpecial">#REF!</definedName>
    <definedName name="employee">#REF!</definedName>
    <definedName name="Employment_Code">#REF!</definedName>
    <definedName name="Employment_Status">#REF!</definedName>
    <definedName name="ENG">#REF!</definedName>
    <definedName name="EPCHOURS" localSheetId="1" hidden="1">{#N/A,#N/A,FALSE,"subcontract"}</definedName>
    <definedName name="EPCHOURS" hidden="1">{#N/A,#N/A,FALSE,"subcontract"}</definedName>
    <definedName name="EPOW">#REF!</definedName>
    <definedName name="EPrice">#REF!</definedName>
    <definedName name="EQUIP">#REF!</definedName>
    <definedName name="EQUIPHRSREQINSERVICE">#REF!</definedName>
    <definedName name="EQUIPMENTHOURS">#REF!</definedName>
    <definedName name="EQUIPMENTHOURSREQUIREDINSERVICE">#REF!</definedName>
    <definedName name="EQUIPMENTHOURSREQUIREDINSERVICEPURCHASED">#REF!</definedName>
    <definedName name="EQUIPMENTHOURSSERVICE">#REF!</definedName>
    <definedName name="EQUIPMENTINSERVICE">#REF!</definedName>
    <definedName name="EQUIPMENTLIFEREMAINING">#REF!</definedName>
    <definedName name="EQUIPMENTPURCHASECOST">#REF!</definedName>
    <definedName name="EQUIPMENTPURCHASES">#REF!</definedName>
    <definedName name="EQUIPMENTREQUIRED">#REF!</definedName>
    <definedName name="EQUIPSERVLIFEREMAININGPURCHASE">#REF!</definedName>
    <definedName name="EQUIPSERVSUMMARY">#REF!</definedName>
    <definedName name="EQUIPUPTOFUELUSAGE">#REF!</definedName>
    <definedName name="er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e">#REF!</definedName>
    <definedName name="error" localSheetId="1" hidden="1">{#N/A,#N/A,FALSE,"Matrix";#N/A,#N/A,FALSE,"Executive";#N/A,#N/A,FALSE,"Summary"}</definedName>
    <definedName name="error" hidden="1">{#N/A,#N/A,FALSE,"Matrix";#N/A,#N/A,FALSE,"Executive";#N/A,#N/A,FALSE,"Summary"}</definedName>
    <definedName name="error2" localSheetId="1" hidden="1">{#N/A,#N/A,FALSE,"E-1";#N/A,#N/A,FALSE,"E-2";#N/A,#N/A,FALSE,"F-1";#N/A,#N/A,FALSE,"F-2";#N/A,#N/A,FALSE,"F-3";#N/A,#N/A,FALSE,"F-4";#N/A,#N/A,FALSE,"F-5";#N/A,#N/A,FALSE,"F-6";#N/A,#N/A,FALSE,"Matrix"}</definedName>
    <definedName name="error2" hidden="1">{#N/A,#N/A,FALSE,"E-1";#N/A,#N/A,FALSE,"E-2";#N/A,#N/A,FALSE,"F-1";#N/A,#N/A,FALSE,"F-2";#N/A,#N/A,FALSE,"F-3";#N/A,#N/A,FALSE,"F-4";#N/A,#N/A,FALSE,"F-5";#N/A,#N/A,FALSE,"F-6";#N/A,#N/A,FALSE,"Matrix"}</definedName>
    <definedName name="error3" localSheetId="1" hidden="1">{#N/A,#N/A,FALSE,"Matrix";#N/A,#N/A,FALSE,"Executive";#N/A,#N/A,FALSE,"Summary"}</definedName>
    <definedName name="error3" hidden="1">{#N/A,#N/A,FALSE,"Matrix";#N/A,#N/A,FALSE,"Executive";#N/A,#N/A,FALSE,"Summary"}</definedName>
    <definedName name="error4" localSheetId="1" hidden="1">{"ARA1",#N/A,FALSE,"ENG-ARA";"ARAhours",#N/A,FALSE,"ENG-ARA";"ARA$",#N/A,FALSE,"ENG-ARA"}</definedName>
    <definedName name="error4" hidden="1">{"ARA1",#N/A,FALSE,"ENG-ARA";"ARAhours",#N/A,FALSE,"ENG-ARA";"ARA$",#N/A,FALSE,"ENG-ARA"}</definedName>
    <definedName name="error5" localSheetId="1" hidden="1">{"bechtel1",#N/A,TRUE,"BECHTEL";"bechtelhours",#N/A,TRUE,"BECHTEL";"bechtel$",#N/A,TRUE,"BECHTEL"}</definedName>
    <definedName name="error5" hidden="1">{"bechtel1",#N/A,TRUE,"BECHTEL";"bechtelhours",#N/A,TRUE,"BECHTEL";"bechtel$",#N/A,TRUE,"BECHTEL"}</definedName>
    <definedName name="error6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rror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s">#REF!</definedName>
    <definedName name="Est_by">#REF!</definedName>
    <definedName name="Est_Class">#REF!</definedName>
    <definedName name="et">#REF!</definedName>
    <definedName name="etmh">#REF!</definedName>
    <definedName name="EV__LASTREFTIME__" hidden="1">39273.5726041667</definedName>
    <definedName name="EW">#REF!</definedName>
    <definedName name="ExchgRateUSD">#REF!</definedName>
    <definedName name="EXTEN">#REF!</definedName>
    <definedName name="f">#REF!</definedName>
    <definedName name="fa">#REF!</definedName>
    <definedName name="Facilitylist">#REF!</definedName>
    <definedName name="FATOR">#REF!</definedName>
    <definedName name="Fbr">#REF!</definedName>
    <definedName name="Fbtan">#REF!</definedName>
    <definedName name="fd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tan">#REF!</definedName>
    <definedName name="FEM">#REF!</definedName>
    <definedName name="ff">#REF!</definedName>
    <definedName name="ffff">#REF!</definedName>
    <definedName name="FFFFFF" hidden="1">#REF!</definedName>
    <definedName name="ffhjff" localSheetId="1" hidden="1">{#N/A,#N/A,TRUE,"Summary";#N/A,#N/A,TRUE,"DRE";#N/A,#N/A,TRUE,"Graphs";#N/A,#N/A,TRUE,"Sum Edit";#N/A,#N/A,TRUE,"Sum Inv";#N/A,#N/A,TRUE,"Sum Sched"}</definedName>
    <definedName name="ffhjff" hidden="1">{#N/A,#N/A,TRUE,"Summary";#N/A,#N/A,TRUE,"DRE";#N/A,#N/A,TRUE,"Graphs";#N/A,#N/A,TRUE,"Sum Edit";#N/A,#N/A,TRUE,"Sum Inv";#N/A,#N/A,TRUE,"Sum Sched"}</definedName>
    <definedName name="fg">#REF!</definedName>
    <definedName name="fgd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IGURECOSTSUMMARYDIVIDEDBYWORKEDUPCOSTS">#REF!</definedName>
    <definedName name="FIGUREEQUIPREQUIRED">#REF!</definedName>
    <definedName name="FIGURETRUCKSREQUIREDLIFEREMAINING">#REF!</definedName>
    <definedName name="file" localSheetId="1" hidden="1">{#N/A,#N/A,FALSE,"단축1";#N/A,#N/A,FALSE,"단축2";#N/A,#N/A,FALSE,"단축3";#N/A,#N/A,FALSE,"장축";#N/A,#N/A,FALSE,"4WD"}</definedName>
    <definedName name="file" hidden="1">{#N/A,#N/A,FALSE,"단축1";#N/A,#N/A,FALSE,"단축2";#N/A,#N/A,FALSE,"단축3";#N/A,#N/A,FALSE,"장축";#N/A,#N/A,FALSE,"4WD"}</definedName>
    <definedName name="file_names">#REF!</definedName>
    <definedName name="File_Paths">#REF!</definedName>
    <definedName name="fim">#REF!</definedName>
    <definedName name="FIN00">#REF!</definedName>
    <definedName name="finale">#REF!</definedName>
    <definedName name="finaleprec">#REF!</definedName>
    <definedName name="FitterInstrument">#REF!</definedName>
    <definedName name="FitterMech">#REF!</definedName>
    <definedName name="FitterPipe">#REF!</definedName>
    <definedName name="FitterSpecial">#REF!</definedName>
    <definedName name="Fittings">#REF!</definedName>
    <definedName name="FJD" localSheetId="1" hidden="1">{#N/A,#N/A,FALSE,"단축1";#N/A,#N/A,FALSE,"단축2";#N/A,#N/A,FALSE,"단축3";#N/A,#N/A,FALSE,"장축";#N/A,#N/A,FALSE,"4WD"}</definedName>
    <definedName name="FJD" hidden="1">{#N/A,#N/A,FALSE,"단축1";#N/A,#N/A,FALSE,"단축2";#N/A,#N/A,FALSE,"단축3";#N/A,#N/A,FALSE,"장축";#N/A,#N/A,FALSE,"4WD"}</definedName>
    <definedName name="FKH">#REF!</definedName>
    <definedName name="fl">#REF!</definedName>
    <definedName name="flavia" hidden="1">#REF!</definedName>
    <definedName name="fle_names">#REF!</definedName>
    <definedName name="FLEXIBLE.T.L" localSheetId="1" hidden="1">{#N/A,#N/A,FALSE,"단축1";#N/A,#N/A,FALSE,"단축2";#N/A,#N/A,FALSE,"단축3";#N/A,#N/A,FALSE,"장축";#N/A,#N/A,FALSE,"4WD"}</definedName>
    <definedName name="FLEXIBLE.T.L" hidden="1">{#N/A,#N/A,FALSE,"단축1";#N/A,#N/A,FALSE,"단축2";#N/A,#N/A,FALSE,"단축3";#N/A,#N/A,FALSE,"장축";#N/A,#N/A,FALSE,"4WD"}</definedName>
    <definedName name="fn">#REF!</definedName>
    <definedName name="Fnet">#REF!</definedName>
    <definedName name="Fo">#REF!</definedName>
    <definedName name="FORKLIFTCOST">#REF!</definedName>
    <definedName name="FORM">#REF!</definedName>
    <definedName name="Fr">#REF!</definedName>
    <definedName name="Frei">#REF!</definedName>
    <definedName name="Freight">#REF!</definedName>
    <definedName name="fs">#REF!</definedName>
    <definedName name="fse">#REF!</definedName>
    <definedName name="fsn">#REF!</definedName>
    <definedName name="ft">#REF!</definedName>
    <definedName name="Ftrtan">#REF!</definedName>
    <definedName name="FU">#REF!</definedName>
    <definedName name="FUELNEW">#REF!</definedName>
    <definedName name="FUELUSAGE">#REF!</definedName>
    <definedName name="FUELUSAGESRD">#REF!</definedName>
    <definedName name="FULENEW">#REF!</definedName>
    <definedName name="Functional_Area">#REF!</definedName>
    <definedName name="fw">#REF!</definedName>
    <definedName name="FX">#REF!</definedName>
    <definedName name="FY">#REF!</definedName>
    <definedName name="Fyb">#REF!</definedName>
    <definedName name="Fyd">#REF!</definedName>
    <definedName name="Fyg">#REF!</definedName>
    <definedName name="Fyt">#REF!</definedName>
    <definedName name="g">#REF!</definedName>
    <definedName name="G_pg1">#REF!</definedName>
    <definedName name="G_pg2">#REF!</definedName>
    <definedName name="GAA">#REF!</definedName>
    <definedName name="Gas_Gathering">#REF!</definedName>
    <definedName name="Gathering_GF_Gas">#REF!</definedName>
    <definedName name="Gathering_GF_Water">#REF!</definedName>
    <definedName name="Gathering_INF_Gas">#REF!</definedName>
    <definedName name="Gathering_INF_Water">#REF!</definedName>
    <definedName name="Gathering_Tbl">#REF!</definedName>
    <definedName name="GBP">#REF!</definedName>
    <definedName name="GEARBOX">#REF!</definedName>
    <definedName name="Geber13">#REF!</definedName>
    <definedName name="Geber14">#REF!</definedName>
    <definedName name="Geber19">#REF!</definedName>
    <definedName name="Geber22">#REF!</definedName>
    <definedName name="Geber23">#REF!</definedName>
    <definedName name="Geber27">#REF!</definedName>
    <definedName name="Geber28">#REF!</definedName>
    <definedName name="Geber29">#REF!</definedName>
    <definedName name="Geber3">#REF!</definedName>
    <definedName name="Geber31">#REF!</definedName>
    <definedName name="Geber32">#REF!</definedName>
    <definedName name="Geber33">#REF!</definedName>
    <definedName name="Geber34">#REF!</definedName>
    <definedName name="Geber38">#REF!</definedName>
    <definedName name="Geber40">#REF!</definedName>
    <definedName name="Geber45">#REF!</definedName>
    <definedName name="Geber46">#REF!</definedName>
    <definedName name="Geber47">#REF!</definedName>
    <definedName name="Geber48">#REF!</definedName>
    <definedName name="Geber49">#REF!</definedName>
    <definedName name="Geber50">#REF!</definedName>
    <definedName name="Geber51">#REF!</definedName>
    <definedName name="Geber55">#REF!</definedName>
    <definedName name="Geber56">#REF!</definedName>
    <definedName name="Geber57">#REF!</definedName>
    <definedName name="Geber58">#REF!</definedName>
    <definedName name="Geber59">#REF!</definedName>
    <definedName name="Geber6">#REF!</definedName>
    <definedName name="Geber60">#REF!</definedName>
    <definedName name="Geber61">#REF!</definedName>
    <definedName name="Geber62">#REF!</definedName>
    <definedName name="Geber63">#REF!</definedName>
    <definedName name="Geber64">#REF!</definedName>
    <definedName name="Geber65">#REF!</definedName>
    <definedName name="Geber66">#REF!</definedName>
    <definedName name="Geber67">#REF!</definedName>
    <definedName name="Geber68">#REF!</definedName>
    <definedName name="Geber69">#REF!</definedName>
    <definedName name="Geber70">#REF!</definedName>
    <definedName name="Geber71">#REF!</definedName>
    <definedName name="Geber72">#REF!</definedName>
    <definedName name="Geber73">#REF!</definedName>
    <definedName name="Geber74">#REF!</definedName>
    <definedName name="Geber75">#REF!</definedName>
    <definedName name="Geber76">#REF!</definedName>
    <definedName name="Geber77">#REF!</definedName>
    <definedName name="Geber78">#REF!</definedName>
    <definedName name="Geber79">#REF!</definedName>
    <definedName name="Geber80">#REF!</definedName>
    <definedName name="GEGEA">#REF!</definedName>
    <definedName name="GeneralNotesPage1">#REF!</definedName>
    <definedName name="GeneralNotesPage2">#REF!</definedName>
    <definedName name="Generic_Job">#REF!</definedName>
    <definedName name="Generic_jobs">#REF!</definedName>
    <definedName name="Generic_Role_Code">#REF!</definedName>
    <definedName name="Gew">#REF!</definedName>
    <definedName name="GEWPUL">#REF!</definedName>
    <definedName name="gfdfg">#REF!</definedName>
    <definedName name="gfdgfd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" hidden="1">#REF!</definedName>
    <definedName name="ggg">#REF!</definedName>
    <definedName name="GGGG" hidden="1">#REF!</definedName>
    <definedName name="ghgg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IPRO127">#REF!</definedName>
    <definedName name="GIPRO152">#REF!</definedName>
    <definedName name="GIPRO178">#REF!</definedName>
    <definedName name="gmd" localSheetId="1" hidden="1">{#N/A,#N/A,FALSE,"Matrix";#N/A,#N/A,FALSE,"Executive";#N/A,#N/A,FALSE,"Summary"}</definedName>
    <definedName name="gmd" hidden="1">{#N/A,#N/A,FALSE,"Matrix";#N/A,#N/A,FALSE,"Executive";#N/A,#N/A,FALSE,"Summary"}</definedName>
    <definedName name="got">#REF!</definedName>
    <definedName name="GotoStudio">#REF!</definedName>
    <definedName name="GOTOSTUDIO2">#REF!</definedName>
    <definedName name="GotoWorkPlace">#REF!</definedName>
    <definedName name="GOTOWORKPLACE2">#REF!</definedName>
    <definedName name="GRADECONTROLCOST">#REF!</definedName>
    <definedName name="Gradient_All">#REF!</definedName>
    <definedName name="graph" hidden="1">#REF!</definedName>
    <definedName name="GREASE_COST">#REF!</definedName>
    <definedName name="grease_qty">#REF!</definedName>
    <definedName name="GreaseRate">#REF!</definedName>
    <definedName name="GrGEA">#REF!</definedName>
    <definedName name="Group2">#REF!</definedName>
    <definedName name="Group7">#REF!</definedName>
    <definedName name="Group9">#REF!</definedName>
    <definedName name="Growth_MPC">#REF!</definedName>
    <definedName name="GSP_GasPLCost">#REF!</definedName>
    <definedName name="GSP_WaterPLCost">#REF!</definedName>
    <definedName name="GTPRO102">#REF!</definedName>
    <definedName name="GTPRO127">#REF!</definedName>
    <definedName name="GTPRO152">#REF!</definedName>
    <definedName name="GTPRO178">#REF!</definedName>
    <definedName name="GTPRORET">#REF!</definedName>
    <definedName name="GTR">#REF!</definedName>
    <definedName name="Gurt">#REF!</definedName>
    <definedName name="h" localSheetId="1" hidden="1">{"execsummary",#N/A,FALSE,"Exec Summ";"profitloss",#N/A,FALSE,"Profit &amp; Loss";"cashflow",#N/A,FALSE,"Cash Flow";"balancesheet",#N/A,FALSE,"Balance Sheet";"production",#N/A,FALSE,"Production";"prodgraphs",#N/A,FALSE,"Prod Graphs";"sales",#N/A,FALSE,"Sales";"salesgraphs",#N/A,FALSE,"Sales Graphs"}</definedName>
    <definedName name="h" hidden="1">{"execsummary",#N/A,FALSE,"Exec Summ";"profitloss",#N/A,FALSE,"Profit &amp; Loss";"cashflow",#N/A,FALSE,"Cash Flow";"balancesheet",#N/A,FALSE,"Balance Sheet";"production",#N/A,FALSE,"Production";"prodgraphs",#N/A,FALSE,"Prod Graphs";"sales",#N/A,FALSE,"Sales";"salesgraphs",#N/A,FALSE,"Sales Graphs"}</definedName>
    <definedName name="hanyouung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ari">#REF!</definedName>
    <definedName name="haulprof">#REF!</definedName>
    <definedName name="hb">#REF!</definedName>
    <definedName name="HDPE_PL">#REF!</definedName>
    <definedName name="HDPE_PL_InstallCost">#REF!</definedName>
    <definedName name="HEADER">#REF!</definedName>
    <definedName name="heli">#REF!</definedName>
    <definedName name="Help" localSheetId="1" hidden="1">{#N/A,#N/A,FALSE,"Matrix";#N/A,#N/A,FALSE,"Executive";#N/A,#N/A,FALSE,"Summary"}</definedName>
    <definedName name="Help" hidden="1">{#N/A,#N/A,FALSE,"Matrix";#N/A,#N/A,FALSE,"Executive";#N/A,#N/A,FALSE,"Summary"}</definedName>
    <definedName name="HELP1" localSheetId="1" hidden="1">{#N/A,#N/A,FALSE,"Matrix";#N/A,#N/A,FALSE,"Executive";#N/A,#N/A,FALSE,"Summary"}</definedName>
    <definedName name="HELP1" hidden="1">{#N/A,#N/A,FALSE,"Matrix";#N/A,#N/A,FALSE,"Executive";#N/A,#N/A,FALSE,"Summary"}</definedName>
    <definedName name="HENFEL4">#REF!</definedName>
    <definedName name="HENFEL6">#REF!</definedName>
    <definedName name="Hf">#REF!</definedName>
    <definedName name="HFRAME">#REF!</definedName>
    <definedName name="hh">#REF!</definedName>
    <definedName name="hhh">#REF!</definedName>
    <definedName name="hhhh">#REF!,#REF!,#REF!,#REF!,#REF!,#REF!,#REF!,#REF!,#REF!,#REF!,#REF!,#REF!,#REF!,#REF!,#REF!,#REF!,#REF!,#REF!,#REF!</definedName>
    <definedName name="HistA">#REF!</definedName>
    <definedName name="HistP">#REF!</definedName>
    <definedName name="HistR">#REF!</definedName>
    <definedName name="hlk">#REF!</definedName>
    <definedName name="hmh">#REF!</definedName>
    <definedName name="ho">#REF!</definedName>
    <definedName name="Home">#REF!</definedName>
    <definedName name="Home_Location">#REF!</definedName>
    <definedName name="HOURS_OPERATING">#REF!</definedName>
    <definedName name="hp">#REF!</definedName>
    <definedName name="hpls">#REF!</definedName>
    <definedName name="Hrs">#REF!</definedName>
    <definedName name="ht">#REF!</definedName>
    <definedName name="HTML" localSheetId="1" hidden="1">{"'Appendix 3 Currency'!$A$1:$U$96"}</definedName>
    <definedName name="HTML" hidden="1">{"'Appendix 3 Currency'!$A$1:$U$96"}</definedName>
    <definedName name="HTML_CodePage" hidden="1">949</definedName>
    <definedName name="HTML_Control" localSheetId="1" hidden="1">{"'장비'!$A$3:$M$12"}</definedName>
    <definedName name="HTML_Control" hidden="1">{"'장비'!$A$3:$M$12"}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FALSE()</definedName>
    <definedName name="HTML_LineBefore" hidden="1">FALSE()</definedName>
    <definedName name="HTML_Name" hidden="1">"이진화"</definedName>
    <definedName name="HTML_OBDlg2" hidden="1">TRUE()</definedName>
    <definedName name="HTML_OBDlg4" hidden="1">TRUE()</definedName>
    <definedName name="HTML_OS" hidden="1">0</definedName>
    <definedName name="HTML_PathFile" hidden="1">"C:\My Documents\MyHTML.htm"</definedName>
    <definedName name="HTML_Title" hidden="1">"가산동미라보"</definedName>
    <definedName name="hv">#REF!</definedName>
    <definedName name="HYD_OIL_COST">#REF!</definedName>
    <definedName name="Hyd_Qty">#REF!</definedName>
    <definedName name="HydRate">#REF!</definedName>
    <definedName name="HYP" hidden="1">#REF!</definedName>
    <definedName name="I">#REF!,#REF!,#REF!</definedName>
    <definedName name="ID_PITCH">#REF!</definedName>
    <definedName name="Id_Rolls">#REF!</definedName>
    <definedName name="Idler_It_No">#REF!</definedName>
    <definedName name="ig">#REF!</definedName>
    <definedName name="iiii">#REF!,#REF!,#REF!,#REF!,#REF!,#REF!,#REF!,#REF!,#REF!,#REF!,#REF!,#REF!,#REF!,#REF!,#REF!,#REF!,#REF!,#REF!,#REF!,#REF!,#REF!,#REF!,#REF!,#REF!,#REF!,#REF!</definedName>
    <definedName name="ILMENITE_BLDG.">#REF!</definedName>
    <definedName name="in">#REF!</definedName>
    <definedName name="INCL">#REF!</definedName>
    <definedName name="Indirect_Tbl">#REF!</definedName>
    <definedName name="ins_matur_periodo">#REF!</definedName>
    <definedName name="ins_power">#REF!</definedName>
    <definedName name="INSTALLED_POWER">#REF!</definedName>
    <definedName name="Insurance">#REF!</definedName>
    <definedName name="INV">#REF!</definedName>
    <definedName name="IPT">#N/A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Is">#REF!</definedName>
    <definedName name="item_code">#REF!,#REF!</definedName>
    <definedName name="j">#REF!</definedName>
    <definedName name="Jbrt">#REF!</definedName>
    <definedName name="JCANNUAL">#REF!</definedName>
    <definedName name="JCCOSTPERTONLB">#REF!</definedName>
    <definedName name="jcdc" hidden="1">#REF!</definedName>
    <definedName name="Jg">#REF!</definedName>
    <definedName name="j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">#REF!</definedName>
    <definedName name="jjjj">#REF!</definedName>
    <definedName name="Jnet">#REF!</definedName>
    <definedName name="jnn">#REF!</definedName>
    <definedName name="JOB_No">#REF!</definedName>
    <definedName name="JobNo">#REF!</definedName>
    <definedName name="jpy">#REF!</definedName>
    <definedName name="K">#REF!</definedName>
    <definedName name="Ka">#REF!</definedName>
    <definedName name="Kbelt">#REF!</definedName>
    <definedName name="Kd">#REF!</definedName>
    <definedName name="ke">#REF!</definedName>
    <definedName name="KIM" localSheetId="1" hidden="1">{#N/A,#N/A,FALSE,"단축1";#N/A,#N/A,FALSE,"단축2";#N/A,#N/A,FALSE,"단축3";#N/A,#N/A,FALSE,"장축";#N/A,#N/A,FALSE,"4WD"}</definedName>
    <definedName name="KIM" hidden="1">{#N/A,#N/A,FALSE,"단축1";#N/A,#N/A,FALSE,"단축2";#N/A,#N/A,FALSE,"단축3";#N/A,#N/A,FALSE,"장축";#N/A,#N/A,FALSE,"4WD"}</definedName>
    <definedName name="kjhk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k">#REF!</definedName>
    <definedName name="KLa">#REF!</definedName>
    <definedName name="klafem">#REF!</definedName>
    <definedName name="Klasse">#REF!</definedName>
    <definedName name="kv">#REF!</definedName>
    <definedName name="l" hidden="1">#REF!</definedName>
    <definedName name="la">#REF!</definedName>
    <definedName name="Labor">#REF!</definedName>
    <definedName name="Labor_add">#REF!</definedName>
    <definedName name="LABOUR">#REF!</definedName>
    <definedName name="LabourerBase">#REF!</definedName>
    <definedName name="LabourerElec">#REF!</definedName>
    <definedName name="LABOURMANNEDCOST">#REF!</definedName>
    <definedName name="LABOURMANNING">#REF!</definedName>
    <definedName name="LABOURUNITCOST">#REF!</definedName>
    <definedName name="LACOR">26.2</definedName>
    <definedName name="LAFWR">27.84</definedName>
    <definedName name="lag">#REF!</definedName>
    <definedName name="Lagger">#REF!</definedName>
    <definedName name="lambda">#REF!</definedName>
    <definedName name="LAR">26.2</definedName>
    <definedName name="LASFR">26.81</definedName>
    <definedName name="lb">#REF!</definedName>
    <definedName name="LC">#REF!</definedName>
    <definedName name="LENGTH">#REF!</definedName>
    <definedName name="LG">#REF!</definedName>
    <definedName name="Lh">#REF!</definedName>
    <definedName name="LHPIT1994ORE">#REF!</definedName>
    <definedName name="LHPIT1994ROM">#REF!</definedName>
    <definedName name="LHPIT1994WASTEFRESH">#REF!</definedName>
    <definedName name="LHPIT1994WASTELEACH">#REF!</definedName>
    <definedName name="LHPIT1ORE">#REF!</definedName>
    <definedName name="LHPIT1RH200ORE">#REF!</definedName>
    <definedName name="LHPIT1RH200ROM">#REF!</definedName>
    <definedName name="LHPIT1RH200WASTEFRESH">#REF!</definedName>
    <definedName name="LHPIT1RH200WASTELEACH">#REF!</definedName>
    <definedName name="LHPIT1ROM">#REF!</definedName>
    <definedName name="LHPIT1WASTEFRESH">#REF!</definedName>
    <definedName name="LHPIT1WASTELEACH">#REF!</definedName>
    <definedName name="LHPIT2994ORE">#REF!</definedName>
    <definedName name="LHPIT2994ROM">#REF!</definedName>
    <definedName name="LHPIT2994WASTEFRESH">#REF!</definedName>
    <definedName name="LHPIT2994WASTELEACH">#REF!</definedName>
    <definedName name="LHPIT2ORE">#REF!</definedName>
    <definedName name="LHPIT2ROM">#REF!</definedName>
    <definedName name="LHPIT2WASTEFRESH">#REF!</definedName>
    <definedName name="LHPIT2WASTELEACH">#REF!</definedName>
    <definedName name="LHPIT3994ORE">#REF!</definedName>
    <definedName name="LHPIT3994ROM">#REF!</definedName>
    <definedName name="LHPIT3994WASTEFRESH">#REF!</definedName>
    <definedName name="LHPIT3994WASTELEACH">#REF!</definedName>
    <definedName name="LHPIT3ORE">#REF!</definedName>
    <definedName name="LHPIT3ROM">#REF!</definedName>
    <definedName name="LHPIT3WASTEFRESH">#REF!</definedName>
    <definedName name="LHPIT3WASTELEACH">#REF!</definedName>
    <definedName name="LHPIT4994ORE">#REF!</definedName>
    <definedName name="LHPIT4994ROM">#REF!</definedName>
    <definedName name="LHPIT4994WASTEFRESH">#REF!</definedName>
    <definedName name="LHPIT4994WASTELEACH">#REF!</definedName>
    <definedName name="LHPIT4ORE">#REF!</definedName>
    <definedName name="LHPIT4ROM">#REF!</definedName>
    <definedName name="LHPIT4WASTEFRESH">#REF!</definedName>
    <definedName name="LHPIT4WASTELEACH">#REF!</definedName>
    <definedName name="LHPIT5994ORE">#REF!</definedName>
    <definedName name="LHPIT5994ROM">#REF!</definedName>
    <definedName name="LHPIT5994WASTEFRESH">#REF!</definedName>
    <definedName name="LHPIT5994WASTELEACH">#REF!</definedName>
    <definedName name="LHPIT5ORE">#REF!</definedName>
    <definedName name="LHPIT5ROM">#REF!</definedName>
    <definedName name="LHPIT5WASTEFRESH">#REF!</definedName>
    <definedName name="LHPIT5WASTELEACH">#REF!</definedName>
    <definedName name="LHPIT6994ORE">#REF!</definedName>
    <definedName name="LHPIT6994ROM">#REF!</definedName>
    <definedName name="LHPIT6994WASTEFRESH">#REF!</definedName>
    <definedName name="LHPIT6994WASTELEACH">#REF!</definedName>
    <definedName name="LHPIT6ORE">#REF!</definedName>
    <definedName name="LHPIT6ROM">#REF!</definedName>
    <definedName name="LHPIT6WASTEFRESH">#REF!</definedName>
    <definedName name="LHPIT6WASTELEACH">#REF!</definedName>
    <definedName name="LIFEOFMINEOPERATINGCOSTSBYCOSTCENTRE">#REF!</definedName>
    <definedName name="LIFT">#REF!</definedName>
    <definedName name="LIST">#REF!</definedName>
    <definedName name="List_TPDProgress">IF(#REF!="PROJECT",#REF!,OFFSET(#REF!,MATCH(#REF!,#REF!,0),0,COUNTIF(#REF!,#REF!),1))</definedName>
    <definedName name="LKL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">#REF!</definedName>
    <definedName name="llll">#REF!</definedName>
    <definedName name="Lma">#REF!</definedName>
    <definedName name="Lmin">#REF!</definedName>
    <definedName name="LNLC">#REF!</definedName>
    <definedName name="LNLD">#REF!</definedName>
    <definedName name="LOADINGCOSTESTIMATE">#REF!</definedName>
    <definedName name="LOWLOADERCOST">#REF!</definedName>
    <definedName name="lowrow">#REF!</definedName>
    <definedName name="LSCM">#REF!</definedName>
    <definedName name="LSST">#REF!</definedName>
    <definedName name="lu" localSheetId="1" hidden="1">{#N/A,#N/A,FALSE,"subcontract"}</definedName>
    <definedName name="lu" hidden="1">{#N/A,#N/A,FALSE,"subcontract"}</definedName>
    <definedName name="lube_Qty">#REF!</definedName>
    <definedName name="LUMP">#REF!</definedName>
    <definedName name="m">#REF!</definedName>
    <definedName name="M1_">#N/A</definedName>
    <definedName name="M2_">#N/A</definedName>
    <definedName name="Ma">#REF!</definedName>
    <definedName name="maint_item">#REF!</definedName>
    <definedName name="Markup">#REF!</definedName>
    <definedName name="MATER">#REF!</definedName>
    <definedName name="material">#REF!</definedName>
    <definedName name="MaterialsImport">#REF!</definedName>
    <definedName name="MaterialType">#REF!</definedName>
    <definedName name="MaterialTypeImport">#REF!</definedName>
    <definedName name="MATL">#REF!</definedName>
    <definedName name="maturato_a_finire">#REF!</definedName>
    <definedName name="Maturato_Alla_Data">#REF!</definedName>
    <definedName name="Maturato_periodo">#REF!</definedName>
    <definedName name="maturato_prec">#REF!</definedName>
    <definedName name="maturato_progr">#REF!</definedName>
    <definedName name="maturato_rapp_prec">#REF!</definedName>
    <definedName name="Mbra">#REF!</definedName>
    <definedName name="Md">#REF!</definedName>
    <definedName name="Mdr">#REF!</definedName>
    <definedName name="ME">#REF!</definedName>
    <definedName name="mensili">#REF!</definedName>
    <definedName name="Mf">#REF!</definedName>
    <definedName name="MFCO_GAA">#REF!</definedName>
    <definedName name="Mfk">#REF!</definedName>
    <definedName name="Mg">#REF!</definedName>
    <definedName name="mgr">#REF!</definedName>
    <definedName name="MGRT">#REF!</definedName>
    <definedName name="MGUEP">#REF!</definedName>
    <definedName name="MGURT">#REF!</definedName>
    <definedName name="Mi">#REF!</definedName>
    <definedName name="MIN">#REF!</definedName>
    <definedName name="MINEADMINISTRATIONCOST">#REF!</definedName>
    <definedName name="MINESERVICESCAPITALCOST">#REF!</definedName>
    <definedName name="MixDetails">#REF!</definedName>
    <definedName name="Mlr">#REF!</definedName>
    <definedName name="MM">#REF!</definedName>
    <definedName name="Mot_Code">#REF!</definedName>
    <definedName name="Mot_Decription">#REF!</definedName>
    <definedName name="Mot_Power">#REF!</definedName>
    <definedName name="motor4">#REF!</definedName>
    <definedName name="motor6">#REF!</definedName>
    <definedName name="MOTORKW">#REF!</definedName>
    <definedName name="movprec">#REF!</definedName>
    <definedName name="MPOW">#REF!</definedName>
    <definedName name="MPrice">#REF!</definedName>
    <definedName name="Ms">#REF!</definedName>
    <definedName name="msize">#REF!</definedName>
    <definedName name="Mt">#REF!</definedName>
    <definedName name="MTO">#REF!</definedName>
    <definedName name="Mu">#REF!</definedName>
    <definedName name="mü">#REF!</definedName>
    <definedName name="mue">#REF!</definedName>
    <definedName name="MuyBulong">#REF!</definedName>
    <definedName name="Muycat">#REF!</definedName>
    <definedName name="Muyep">#REF!</definedName>
    <definedName name="Mw">#REF!</definedName>
    <definedName name="Mzu">#REF!</definedName>
    <definedName name="N">#REF!</definedName>
    <definedName name="National_Status">#REF!</definedName>
    <definedName name="NatStatus">#REF!</definedName>
    <definedName name="nc">#REF!</definedName>
    <definedName name="nd">#REF!</definedName>
    <definedName name="ndo">#REF!</definedName>
    <definedName name="nelmese">#REF!</definedName>
    <definedName name="New" localSheetId="1" hidden="1">{#N/A,#N/A,FALSE,"subcontract"}</definedName>
    <definedName name="New" hidden="1">{#N/A,#N/A,FALSE,"subcontract"}</definedName>
    <definedName name="New_Line">#REF!</definedName>
    <definedName name="NG">#REF!</definedName>
    <definedName name="NGP">#REF!</definedName>
    <definedName name="nm">#REF!</definedName>
    <definedName name="nn">#REF!</definedName>
    <definedName name="nnn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ose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1" hidden="1">{#N/A,#N/A,FALSE,"E-1";#N/A,#N/A,FALSE,"E-2";#N/A,#N/A,FALSE,"F-1";#N/A,#N/A,FALSE,"F-2";#N/A,#N/A,FALSE,"F-3";#N/A,#N/A,FALSE,"F-4";#N/A,#N/A,FALSE,"F-5";#N/A,#N/A,FALSE,"F-6";#N/A,#N/A,FALSE,"Matrix"}</definedName>
    <definedName name="nose2" hidden="1">{#N/A,#N/A,FALSE,"E-1";#N/A,#N/A,FALSE,"E-2";#N/A,#N/A,FALSE,"F-1";#N/A,#N/A,FALSE,"F-2";#N/A,#N/A,FALSE,"F-3";#N/A,#N/A,FALSE,"F-4";#N/A,#N/A,FALSE,"F-5";#N/A,#N/A,FALSE,"F-6";#N/A,#N/A,FALSE,"Matrix"}</definedName>
    <definedName name="nose3" localSheetId="1" hidden="1">{#N/A,#N/A,FALSE,"Matrix";#N/A,#N/A,FALSE,"Executive";#N/A,#N/A,FALSE,"Summary"}</definedName>
    <definedName name="nose3" hidden="1">{#N/A,#N/A,FALSE,"Matrix";#N/A,#N/A,FALSE,"Executive";#N/A,#N/A,FALSE,"Summary"}</definedName>
    <definedName name="np">#REF!</definedName>
    <definedName name="nr">#REF!</definedName>
    <definedName name="nrev">#REF!</definedName>
    <definedName name="ns">#REF!</definedName>
    <definedName name="Number">#REF!</definedName>
    <definedName name="nvd">#REF!</definedName>
    <definedName name="nx">#REF!</definedName>
    <definedName name="O">#REF!</definedName>
    <definedName name="Object">#REF!</definedName>
    <definedName name="odActual" hidden="1">0</definedName>
    <definedName name="odBudget" hidden="1">1</definedName>
    <definedName name="odExternal" hidden="1">3</definedName>
    <definedName name="odForecast" hidden="1">2</definedName>
    <definedName name="ODH" hidden="1">#REF!</definedName>
    <definedName name="odPercentOfBudget" hidden="1">200</definedName>
    <definedName name="odPercentOfForecast" hidden="1">210</definedName>
    <definedName name="odPercentOfPlan" hidden="1">200</definedName>
    <definedName name="odPercentVarianceOnBudget" hidden="1">220</definedName>
    <definedName name="odPercentVarianceOnForecast" hidden="1">320</definedName>
    <definedName name="odPercentVarianceOnPlan" hidden="1">220</definedName>
    <definedName name="odPlan" hidden="1">1</definedName>
    <definedName name="odVarianceOnBudget" hidden="1">300</definedName>
    <definedName name="odVarianceOnForecast" hidden="1">310</definedName>
    <definedName name="odVarianceOnPlan" hidden="1">300</definedName>
    <definedName name="OIL_COST">#REF!</definedName>
    <definedName name="oil_ItemNo">#REF!</definedName>
    <definedName name="OilRate">#REF!</definedName>
    <definedName name="öö">#REF!</definedName>
    <definedName name="ööö">#REF!</definedName>
    <definedName name="öööö">#REF!</definedName>
    <definedName name="OPCNR">27.84</definedName>
    <definedName name="OPR">27.84</definedName>
    <definedName name="ops_head_items">#REF!</definedName>
    <definedName name="OPTRR">26.81</definedName>
    <definedName name="ORDPREC">#REF!</definedName>
    <definedName name="orlagh" hidden="1">#REF!</definedName>
    <definedName name="ot">#REF!</definedName>
    <definedName name="Other">#REF!</definedName>
    <definedName name="OtherTotal">#REF!</definedName>
    <definedName name="p">#REF!</definedName>
    <definedName name="P.M">#REF!</definedName>
    <definedName name="PAEarthwork">#REF!</definedName>
    <definedName name="Painter">#REF!</definedName>
    <definedName name="Pal_Workbook_GUID" hidden="1">"DDBPHKVSQN8KKUSYRHRPTN9K"</definedName>
    <definedName name="pam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Sitedevelopment">#REF!</definedName>
    <definedName name="PEeight">#REF!</definedName>
    <definedName name="PEeigth">#REF!</definedName>
    <definedName name="PEfifth">#REF!</definedName>
    <definedName name="PEfirst">#REF!</definedName>
    <definedName name="PEfourth">#REF!</definedName>
    <definedName name="Period_Num">#REF!</definedName>
    <definedName name="PEsecond">#REF!</definedName>
    <definedName name="PEseventh">#REF!</definedName>
    <definedName name="PEsixth">#REF!</definedName>
    <definedName name="PEthird">#REF!</definedName>
    <definedName name="PG">#REF!</definedName>
    <definedName name="Pgr">#REF!</definedName>
    <definedName name="PH4100COST">#REF!</definedName>
    <definedName name="Phase_Tbl">#REF!</definedName>
    <definedName name="Pi">#REF!</definedName>
    <definedName name="PIA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P">#REF!</definedName>
    <definedName name="PITMININGSUMMARY">#REF!</definedName>
    <definedName name="PITMOVEMENTSUMMARY">#REF!</definedName>
    <definedName name="PL">#REF!</definedName>
    <definedName name="Plan_dates">#REF!</definedName>
    <definedName name="Plan_Start">#REF!</definedName>
    <definedName name="PLANT_CAPACITY">#REF!</definedName>
    <definedName name="Plant_name_for_fuel">#REF!</definedName>
    <definedName name="PlantCap">#REF!</definedName>
    <definedName name="PlantOperator">#REF!</definedName>
    <definedName name="PlantType">#REF!</definedName>
    <definedName name="Plumber">#REF!</definedName>
    <definedName name="Pmax">#REF!</definedName>
    <definedName name="PMPrice">#REF!</definedName>
    <definedName name="Po">#REF!</definedName>
    <definedName name="poh">#REF!</definedName>
    <definedName name="POP">#REF!,#REF!,#REF!,#REF!,#REF!,#REF!,#REF!,#REF!,#REF!,#REF!,#REF!,#REF!,#REF!</definedName>
    <definedName name="pos">#REF!</definedName>
    <definedName name="Pos_e">#REF!</definedName>
    <definedName name="Position_Change_Type">#REF!</definedName>
    <definedName name="POW">#REF!</definedName>
    <definedName name="Power">#REF!</definedName>
    <definedName name="POWER_COST">#REF!</definedName>
    <definedName name="POWG">#REF!</definedName>
    <definedName name="powth">#REF!</definedName>
    <definedName name="PPow">#REF!</definedName>
    <definedName name="PPrice">#REF!</definedName>
    <definedName name="PRIMARYANDSECONDARYEQUIPMENT">#REF!</definedName>
    <definedName name="PRIMARYANDSECONDARYNEW">#REF!</definedName>
    <definedName name="_xlnm.Print_Area" localSheetId="0">'Payment Claim'!$A$1:$G$48</definedName>
    <definedName name="_xlnm.Print_Area" localSheetId="1">Payment_Summary!$A$1:$AK$20</definedName>
    <definedName name="Print_Area1">#REF!</definedName>
    <definedName name="Print1">#REF!</definedName>
    <definedName name="Print2">#REF!</definedName>
    <definedName name="Print3">#REF!</definedName>
    <definedName name="Printrep">#REF!,#REF!,#REF!,#REF!</definedName>
    <definedName name="Procurementpacklist">#REF!</definedName>
    <definedName name="ProductionItem">#REF!</definedName>
    <definedName name="progfat">#REF!</definedName>
    <definedName name="progord">#REF!</definedName>
    <definedName name="Progress">#REF!</definedName>
    <definedName name="Progress_export1">#REF!</definedName>
    <definedName name="progressivi">#REF!</definedName>
    <definedName name="progrmov">#REF!</definedName>
    <definedName name="Proj_Name">#REF!</definedName>
    <definedName name="Proj_Phase">#REF!</definedName>
    <definedName name="Project">#REF!</definedName>
    <definedName name="Project_Client_List">#REF!</definedName>
    <definedName name="Project_Name">#REF!</definedName>
    <definedName name="prospects" localSheetId="1" hidden="1">{#N/A,#N/A,FALSE,"FCST94";#N/A,#N/A,FALSE,"FIRM";#N/A,#N/A,FALSE,"BACK94";#N/A,#N/A,FALSE,"FCST95";#N/A,#N/A,FALSE,"BACK95";#N/A,#N/A,FALSE,"FCST96"}</definedName>
    <definedName name="prospects" hidden="1">{#N/A,#N/A,FALSE,"FCST94";#N/A,#N/A,FALSE,"FIRM";#N/A,#N/A,FALSE,"BACK94";#N/A,#N/A,FALSE,"FCST95";#N/A,#N/A,FALSE,"BACK95";#N/A,#N/A,FALSE,"FCST96"}</definedName>
    <definedName name="Pth">#REF!</definedName>
    <definedName name="PUM">#REF!</definedName>
    <definedName name="PUMP">#REF!</definedName>
    <definedName name="PUR">#REF!</definedName>
    <definedName name="PV" localSheetId="1" hidden="1">{#N/A,#N/A,FALSE,"subcontract"}</definedName>
    <definedName name="PV" hidden="1">{#N/A,#N/A,FALSE,"subcontract"}</definedName>
    <definedName name="Q">#REF!</definedName>
    <definedName name="Q_Manhours_TAUS">#REF!</definedName>
    <definedName name="qB">#REF!</definedName>
    <definedName name="qG">#REF!</definedName>
    <definedName name="qgmax">#REF!</definedName>
    <definedName name="QL">#REF!</definedName>
    <definedName name="qltm" localSheetId="1" hidden="1">{#N/A,#N/A,TRUE,"Y생산";#N/A,#N/A,TRUE,"Y판매";#N/A,#N/A,TRUE,"Y총물량";#N/A,#N/A,TRUE,"Y능력";#N/A,#N/A,TRUE,"YKD"}</definedName>
    <definedName name="qltm" hidden="1">{#N/A,#N/A,TRUE,"Y생산";#N/A,#N/A,TRUE,"Y판매";#N/A,#N/A,TRUE,"Y총물량";#N/A,#N/A,TRUE,"Y능력";#N/A,#N/A,TRUE,"YKD"}</definedName>
    <definedName name="qnom">#REF!</definedName>
    <definedName name="QPrice">#REF!</definedName>
    <definedName name="QQQAAASSS" localSheetId="1" hidden="1">{#N/A,#N/A,TRUE,"Y생산";#N/A,#N/A,TRUE,"Y판매";#N/A,#N/A,TRUE,"Y총물량";#N/A,#N/A,TRUE,"Y능력";#N/A,#N/A,TRUE,"YKD"}</definedName>
    <definedName name="QQQAAASSS" hidden="1">{#N/A,#N/A,TRUE,"Y생산";#N/A,#N/A,TRUE,"Y판매";#N/A,#N/A,TRUE,"Y총물량";#N/A,#N/A,TRUE,"Y능력";#N/A,#N/A,TRUE,"YKD"}</definedName>
    <definedName name="qqqq" localSheetId="1" hidden="1">{"'장비'!$A$3:$M$12"}</definedName>
    <definedName name="qqqq" hidden="1">{"'장비'!$A$3:$M$12"}</definedName>
    <definedName name="QQQQQQQ" localSheetId="1" hidden="1">{#N/A,#N/A,TRUE,"Y생산";#N/A,#N/A,TRUE,"Y판매";#N/A,#N/A,TRUE,"Y총물량";#N/A,#N/A,TRUE,"Y능력";#N/A,#N/A,TRUE,"YKD"}</definedName>
    <definedName name="QQQQQQQ" hidden="1">{#N/A,#N/A,TRUE,"Y생산";#N/A,#N/A,TRUE,"Y판매";#N/A,#N/A,TRUE,"Y총물량";#N/A,#N/A,TRUE,"Y능력";#N/A,#N/A,TRUE,"YKD"}</definedName>
    <definedName name="qR">#REF!</definedName>
    <definedName name="QRY_EXPORT_EST_DETAILS">#REF!</definedName>
    <definedName name="quantity" localSheetId="4" hidden="1">INDEX(codematch,1,20)</definedName>
    <definedName name="quantity" localSheetId="5" hidden="1">INDEX(codematch,1,20)</definedName>
    <definedName name="quantity" localSheetId="1" hidden="1">INDEX(codematch,1,20)</definedName>
    <definedName name="quantity" hidden="1">INDEX(codematch,1,20)</definedName>
    <definedName name="Quantity_Driver">#REF!</definedName>
    <definedName name="QuarryMat">#REF!</definedName>
    <definedName name="Query1">#REF!</definedName>
    <definedName name="Qvth">#REF!</definedName>
    <definedName name="r_b">#REF!</definedName>
    <definedName name="Rack0Card4">#REF!</definedName>
    <definedName name="Rack0Card5">#REF!</definedName>
    <definedName name="Rack0Card6">#REF!</definedName>
    <definedName name="Rack0Card7">#REF!</definedName>
    <definedName name="Rack0Card8">#REF!</definedName>
    <definedName name="Rack0Card9">#REF!</definedName>
    <definedName name="Rack1Card1">#REF!</definedName>
    <definedName name="Rack1Card2">#REF!</definedName>
    <definedName name="Rack1Card3">#REF!</definedName>
    <definedName name="Rack1Card4">#REF!</definedName>
    <definedName name="Rack1Card5">#REF!</definedName>
    <definedName name="Rack1Card6">#REF!</definedName>
    <definedName name="Rack1Card7">#REF!</definedName>
    <definedName name="Rack1Card8">#REF!</definedName>
    <definedName name="Rack1Card9">#REF!</definedName>
    <definedName name="Rack2Card1">#REF!</definedName>
    <definedName name="Rack2Card2">#REF!</definedName>
    <definedName name="Rack2Card3">#REF!</definedName>
    <definedName name="Rack2Card4">#REF!</definedName>
    <definedName name="Rack2Card5">#REF!</definedName>
    <definedName name="Rack2Card6">#REF!</definedName>
    <definedName name="Rack2Card7">#REF!</definedName>
    <definedName name="Rack2Card8">#REF!</definedName>
    <definedName name="Range_Chief">#REF!</definedName>
    <definedName name="Rate">#REF!</definedName>
    <definedName name="Rate_Power">#REF!</definedName>
    <definedName name="rate1">#REF!</definedName>
    <definedName name="rate2">#REF!</definedName>
    <definedName name="rate3">#REF!</definedName>
    <definedName name="rate4">#REF!</definedName>
    <definedName name="rates">#REF!</definedName>
    <definedName name="Recruitment_Status">#REF!</definedName>
    <definedName name="Res_Rate">#REF!</definedName>
    <definedName name="reter">#REF!</definedName>
    <definedName name="Rev">#REF!</definedName>
    <definedName name="Review_by">#REF!</definedName>
    <definedName name="Revision">#REF!</definedName>
    <definedName name="Revision_No">#REF!</definedName>
    <definedName name="rg">#REF!</definedName>
    <definedName name="RH200COST">#REF!</definedName>
    <definedName name="RiggerMulti">#REF!</definedName>
    <definedName name="RiggerSingle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FALSE()</definedName>
    <definedName name="RiskMonitorConvergence" hidden="1">FALSE()</definedName>
    <definedName name="RiskMultipleCPUSupportEnabled" hidden="1">TRUE()</definedName>
    <definedName name="RiskNumIterations" hidden="1">1000</definedName>
    <definedName name="RiskNumSimulations" hidden="1">1</definedName>
    <definedName name="RiskPauseOnError" hidden="1">FALSE()</definedName>
    <definedName name="RiskResultsUpdateFreq">100</definedName>
    <definedName name="RiskRunAfterRecalcMacro" hidden="1">FALSE()</definedName>
    <definedName name="RiskRunAfterSimMacro" hidden="1">FALSE()</definedName>
    <definedName name="RiskRunBeforeRecalcMacro" hidden="1">FALSE()</definedName>
    <definedName name="RiskRunBeforeSimMacro" hidden="1">FALSE()</definedName>
    <definedName name="RiskSamplingType" hidden="1">3</definedName>
    <definedName name="RiskStandardRecalc" hidden="1">1</definedName>
    <definedName name="RiskStatFunctionsUpdateFreq">1</definedName>
    <definedName name="RiskUpdateDisplay" hidden="1">FALSE()</definedName>
    <definedName name="RiskUpdateStatFunctions">TRUE()</definedName>
    <definedName name="RiskUseDifferentSeedForEachSim" hidden="1">FALSE()</definedName>
    <definedName name="RiskUseFixedSeed" hidden="1">FALSE()</definedName>
    <definedName name="RiskUseMultipleCPUs" hidden="1">TRUE()</definedName>
    <definedName name="rk">#REF!</definedName>
    <definedName name="ROADMAP">#REF!</definedName>
    <definedName name="Role_Names">#REF!</definedName>
    <definedName name="Roles">#REF!</definedName>
    <definedName name="ROOF">#REF!,#REF!,#REF!,#REF!,#REF!,#REF!,#REF!</definedName>
    <definedName name="Roofer">#REF!</definedName>
    <definedName name="ROS_date">#REF!</definedName>
    <definedName name="rr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s">#REF!</definedName>
    <definedName name="s">#REF!</definedName>
    <definedName name="S_">#REF!</definedName>
    <definedName name="sadf" hidden="1">#REF!</definedName>
    <definedName name="saf">#REF!</definedName>
    <definedName name="Salary_Level">#REF!</definedName>
    <definedName name="Salary_Level_List">#REF!</definedName>
    <definedName name="SalePrice">#REF!</definedName>
    <definedName name="SalLevel">#REF!</definedName>
    <definedName name="SAPBEXdnldView" hidden="1">"49KA95WUOVXMNYBZHX3LQUCDX"</definedName>
    <definedName name="SAPBEXsysID" hidden="1">"BWP"</definedName>
    <definedName name="SAPFuncF4Help" localSheetId="4" hidden="1">main.sapf4help()</definedName>
    <definedName name="SAPFuncF4Help" localSheetId="5" hidden="1">main.sapf4help()</definedName>
    <definedName name="SAPFuncF4Help" localSheetId="1" hidden="1">main.sapf4help()</definedName>
    <definedName name="SAPFuncF4Help" hidden="1">main.sapf4help()</definedName>
    <definedName name="Scaffolder0">#REF!</definedName>
    <definedName name="Scaffolder1">#REF!</definedName>
    <definedName name="Scaffolder2">#REF!</definedName>
    <definedName name="scarce" localSheetId="1" hidden="1">{#N/A,#N/A,FALSE,"Summary";#N/A,#N/A,FALSE,"3TJ";#N/A,#N/A,FALSE,"3TN";#N/A,#N/A,FALSE,"3TP";#N/A,#N/A,FALSE,"3SJ";#N/A,#N/A,FALSE,"3CJ";#N/A,#N/A,FALSE,"3CN";#N/A,#N/A,FALSE,"3CP";#N/A,#N/A,FALSE,"3A"}</definedName>
    <definedName name="scarce" hidden="1">{#N/A,#N/A,FALSE,"Summary";#N/A,#N/A,FALSE,"3TJ";#N/A,#N/A,FALSE,"3TN";#N/A,#N/A,FALSE,"3TP";#N/A,#N/A,FALSE,"3SJ";#N/A,#N/A,FALSE,"3CJ";#N/A,#N/A,FALSE,"3CN";#N/A,#N/A,FALSE,"3CP";#N/A,#N/A,FALSE,"3A"}</definedName>
    <definedName name="SCHEDULE_D1_a___3rd_LEVEL_BREAKDOWN_FOR_ELECTRICAL__INSTRUMENTATION">#REF!</definedName>
    <definedName name="ScopeID">#REF!</definedName>
    <definedName name="SCREEN_402_SC01">#REF!</definedName>
    <definedName name="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g">#REF!</definedName>
    <definedName name="sdgdf">#REF!</definedName>
    <definedName name="sdgdsfg">#REF!</definedName>
    <definedName name="sdgsd">#REF!</definedName>
    <definedName name="sdrgsd">#REF!</definedName>
    <definedName name="sek">#REF!</definedName>
    <definedName name="SERVICEEQUIPMENTOPEX">#REF!</definedName>
    <definedName name="SERVICEFLEET">#REF!</definedName>
    <definedName name="Services2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fff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fd">#REF!</definedName>
    <definedName name="sgf">#REF!</definedName>
    <definedName name="sgfd">#REF!</definedName>
    <definedName name="SHARQ">#REF!</definedName>
    <definedName name="sheet_names">#REF!</definedName>
    <definedName name="SheetMetal">#REF!</definedName>
    <definedName name="SHIFTANDCONSTANTS">#REF!</definedName>
    <definedName name="SHIFTS">#REF!</definedName>
    <definedName name="SHIFTSANDCONSTANTS">#REF!</definedName>
    <definedName name="Shipped">#REF!</definedName>
    <definedName name="SHOVEL">#REF!</definedName>
    <definedName name="SHOVEL4100">#REF!</definedName>
    <definedName name="SHOVELNEW">#REF!</definedName>
    <definedName name="sht_names">#REF!</definedName>
    <definedName name="sin">#REF!</definedName>
    <definedName name="size">#REF!</definedName>
    <definedName name="SKIRTS">#REF!</definedName>
    <definedName name="solv" hidden="1">#REF!</definedName>
    <definedName name="solver_adj" hidden="1">#REF!</definedName>
    <definedName name="solver_lhs1" hidden="1">#REF!</definedName>
    <definedName name="solver_lin" hidden="1">0</definedName>
    <definedName name="solver_num" hidden="1">0</definedName>
    <definedName name="solver_opt" hidden="1">#REF!</definedName>
    <definedName name="solver_rel1" hidden="1">3</definedName>
    <definedName name="solver_rhs1" hidden="1">0</definedName>
    <definedName name="solver_tmp" hidden="1">0</definedName>
    <definedName name="solver_typ" hidden="1">1</definedName>
    <definedName name="solver_val" hidden="1">0</definedName>
    <definedName name="solvo" hidden="1">#REF!</definedName>
    <definedName name="SORT">#REF!</definedName>
    <definedName name="SP" localSheetId="1" hidden="1">{#N/A,#N/A,FALSE,"subcontract"}</definedName>
    <definedName name="SP" hidden="1">{#N/A,#N/A,FALSE,"subcontract"}</definedName>
    <definedName name="SPEED">#REF!</definedName>
    <definedName name="SPOW">#REF!</definedName>
    <definedName name="SPrice">#REF!</definedName>
    <definedName name="SS">#REF!</definedName>
    <definedName name="sss">#REF!</definedName>
    <definedName name="ssshh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>#REF!</definedName>
    <definedName name="ssss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ss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t">#REF!</definedName>
    <definedName name="Stage">#REF!</definedName>
    <definedName name="Stage1.">#REF!</definedName>
    <definedName name="StageAndRange1">#REF!</definedName>
    <definedName name="Stages">#REF!</definedName>
    <definedName name="stampDcos">#REF!</definedName>
    <definedName name="stampDore">#REF!</definedName>
    <definedName name="stampRcos">#REF!</definedName>
    <definedName name="stampRore">#REF!</definedName>
    <definedName name="status">#REF!</definedName>
    <definedName name="SteelFixer">#REF!</definedName>
    <definedName name="SteelPrice">#REF!</definedName>
    <definedName name="SteelPrice1">#REF!</definedName>
    <definedName name="SteelPrice2">#REF!</definedName>
    <definedName name="SteelPrice3">#REF!</definedName>
    <definedName name="SteelPrice4">#REF!</definedName>
    <definedName name="StorePerson">#REF!</definedName>
    <definedName name="sü">#REF!</definedName>
    <definedName name="successful">#REF!</definedName>
    <definedName name="SumData">#REF!</definedName>
    <definedName name="SUMM1AVER">#REF!</definedName>
    <definedName name="summ1l4100">#REF!</definedName>
    <definedName name="summ1l994">#REF!</definedName>
    <definedName name="summ1lrh200">#REF!</definedName>
    <definedName name="summ2aver">#REF!</definedName>
    <definedName name="summ2l4100">#REF!</definedName>
    <definedName name="summ2l994">#REF!</definedName>
    <definedName name="summ3aver">#REF!</definedName>
    <definedName name="summ3l4100">#REF!</definedName>
    <definedName name="summ3l994">#REF!</definedName>
    <definedName name="summ4aver">#REF!</definedName>
    <definedName name="summ4l4100">#REF!</definedName>
    <definedName name="summ4l994">#REF!</definedName>
    <definedName name="summ5aver">#REF!</definedName>
    <definedName name="summ5l4100">#REF!</definedName>
    <definedName name="summ5l994">#REF!</definedName>
    <definedName name="summ6aver">#REF!</definedName>
    <definedName name="summ6l4100">#REF!</definedName>
    <definedName name="summ6l994">#REF!</definedName>
    <definedName name="Summary">#REF!</definedName>
    <definedName name="SUPPORTEQUIPCOST">#REF!</definedName>
    <definedName name="Swvu.GAITHERSBURG._.OFFICE." hidden="1">#REF!</definedName>
    <definedName name="Swvu.garo_graph." hidden="1">#REF!</definedName>
    <definedName name="Swvu.garo_personnel." hidden="1">#REF!</definedName>
    <definedName name="Swvu.headcount._.change." hidden="1">#REF!</definedName>
    <definedName name="Swvu.personnel._.by._.location." hidden="1">#REF!</definedName>
    <definedName name="T">#REF!</definedName>
    <definedName name="ta">#REF!</definedName>
    <definedName name="tab_mancal">#REF!</definedName>
    <definedName name="TABELA">#REF!</definedName>
    <definedName name="tabela2">#REF!</definedName>
    <definedName name="TABLE_S6.1">#REF!</definedName>
    <definedName name="Table_S6.2">#REF!</definedName>
    <definedName name="Table_S6.3">#REF!</definedName>
    <definedName name="TABLE_S9.1_and_S12.1">#REF!</definedName>
    <definedName name="TABLE_S9.2">#REF!</definedName>
    <definedName name="TABLE1513NEW">#REF!</definedName>
    <definedName name="TABLE1514">#REF!</definedName>
    <definedName name="TABLE1515">#REF!</definedName>
    <definedName name="TABLE1516">#REF!</definedName>
    <definedName name="TABLE1517">#REF!</definedName>
    <definedName name="TABLE1517MINEADMIN">#REF!</definedName>
    <definedName name="TABLE1518">#REF!</definedName>
    <definedName name="TABLE1518FUEL">#REF!</definedName>
    <definedName name="TABLE1518FUELPOWER">#REF!</definedName>
    <definedName name="TABLE1519">#REF!</definedName>
    <definedName name="TABLE1519DRILL">#REF!</definedName>
    <definedName name="TABLE1520">#REF!</definedName>
    <definedName name="TABLE1520BLAST">#REF!</definedName>
    <definedName name="TABLE1520NEW">#REF!</definedName>
    <definedName name="TABLE1521">#REF!</definedName>
    <definedName name="TABLE1521SHOVEL">#REF!</definedName>
    <definedName name="TABLE1523DEWATER">#REF!</definedName>
    <definedName name="TABLE157MINEADMINCOST">#REF!</definedName>
    <definedName name="TABLES1110NEWFUEL">#REF!</definedName>
    <definedName name="TABLES1111NEWPOWER">#REF!</definedName>
    <definedName name="TABLES111NEW">#REF!</definedName>
    <definedName name="TABLES111NEWHOURS">#REF!</definedName>
    <definedName name="TABLES112NEWEQUIPREQ">#REF!</definedName>
    <definedName name="TABLES113NEWEQUIPINSERVICE">#REF!</definedName>
    <definedName name="TABLES114NEWEQUIPOPEX">#REF!</definedName>
    <definedName name="TABLES115">#REF!</definedName>
    <definedName name="TABLES115NEWLIFEREMAIN">#REF!</definedName>
    <definedName name="TABLES116EQUIPMENTPURCHASE">#REF!</definedName>
    <definedName name="TABLES116EQUIPMENTPURCHASES">#REF!</definedName>
    <definedName name="TABLES116MINECAPITAL">#REF!</definedName>
    <definedName name="TABLES117MINECAPITAL">#REF!</definedName>
    <definedName name="TABLES118MINESERVICESCAPITAL">#REF!</definedName>
    <definedName name="TABLES119NEWMINEADMIN">#REF!</definedName>
    <definedName name="TABULATIONLOADERHAULERRATIO">#REF!</definedName>
    <definedName name="TaxTV">10%</definedName>
    <definedName name="TaxXL">5%</definedName>
    <definedName name="TC">#REF!</definedName>
    <definedName name="tch">#REF!</definedName>
    <definedName name="tclt">#REF!</definedName>
    <definedName name="TE">#REF!</definedName>
    <definedName name="Team">#REF!</definedName>
    <definedName name="TECHINT_S.P.A">#REF!</definedName>
    <definedName name="TElectLabor">#REF!</definedName>
    <definedName name="TEMP" hidden="1">#REF!</definedName>
    <definedName name="TEST" hidden="1">#REF!</definedName>
    <definedName name="TFRAME">#REF!</definedName>
    <definedName name="tg">#REF!</definedName>
    <definedName name="ti">#REF!</definedName>
    <definedName name="tipo_tamb">#REF!</definedName>
    <definedName name="titoloDcos">#REF!</definedName>
    <definedName name="titoloDore">#REF!</definedName>
    <definedName name="TLabor">#REF!</definedName>
    <definedName name="TMechLabor">#REF!</definedName>
    <definedName name="Toq" localSheetId="1" hidden="1">{#N/A,#N/A,FALSE,"Matrix";#N/A,#N/A,FALSE,"Executive";#N/A,#N/A,FALSE,"Summary"}</definedName>
    <definedName name="Toq" hidden="1">{#N/A,#N/A,FALSE,"Matrix";#N/A,#N/A,FALSE,"Executive";#N/A,#N/A,FALSE,"Summary"}</definedName>
    <definedName name="Toquepala" localSheetId="1" hidden="1">{#N/A,#N/A,FALSE,"Matrix";#N/A,#N/A,FALSE,"Executive";#N/A,#N/A,FALSE,"Summary"}</definedName>
    <definedName name="Toquepala" hidden="1">{#N/A,#N/A,FALSE,"Matrix";#N/A,#N/A,FALSE,"Executive";#N/A,#N/A,FALSE,"Summary"}</definedName>
    <definedName name="totadmin">#REF!</definedName>
    <definedName name="TOTAL">#REF!</definedName>
    <definedName name="TotalDelivered">#REF!</definedName>
    <definedName name="TotalFinalPrice">#REF!</definedName>
    <definedName name="totemploy">#REF!</definedName>
    <definedName name="totmaint">#REF!</definedName>
    <definedName name="totmisc">#REF!</definedName>
    <definedName name="totpower">#REF!</definedName>
    <definedName name="totQty">#REF!</definedName>
    <definedName name="TPMLabor">#REF!</definedName>
    <definedName name="TProcLabor">#REF!</definedName>
    <definedName name="TQAQCLabor">#REF!</definedName>
    <definedName name="Travel">#REF!</definedName>
    <definedName name="TravelTotal">#REF!</definedName>
    <definedName name="Trinidad" localSheetId="1" hidden="1">{"bechtel1",#N/A,TRUE,"BECHTEL";"bechtelhours",#N/A,TRUE,"BECHTEL";"bechtel$",#N/A,TRUE,"BECHTEL"}</definedName>
    <definedName name="Trinidad" hidden="1">{"bechtel1",#N/A,TRUE,"BECHTEL";"bechtelhours",#N/A,TRUE,"BECHTEL";"bechtel$",#N/A,TRUE,"BECHTEL"}</definedName>
    <definedName name="trinidad1" localSheetId="1" hidden="1">{#N/A,#N/A,FALSE,"MAQUINA"}</definedName>
    <definedName name="trinidad1" hidden="1">{#N/A,#N/A,FALSE,"MAQUINA"}</definedName>
    <definedName name="trinidad2" localSheetId="1" hidden="1">{#N/A,#N/A,FALSE,"Matrix";#N/A,#N/A,FALSE,"Executive";#N/A,#N/A,FALSE,"Summary"}</definedName>
    <definedName name="trinidad2" hidden="1">{#N/A,#N/A,FALSE,"Matrix";#N/A,#N/A,FALSE,"Executive";#N/A,#N/A,FALSE,"Summary"}</definedName>
    <definedName name="trinidad3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4" localSheetId="1" hidden="1">{#N/A,#N/A,FALSE,"Matrix";#N/A,#N/A,FALSE,"Executive";#N/A,#N/A,FALSE,"Summary"}</definedName>
    <definedName name="trinidad4" hidden="1">{#N/A,#N/A,FALSE,"Matrix";#N/A,#N/A,FALSE,"Executive";#N/A,#N/A,FALSE,"Summary"}</definedName>
    <definedName name="TRUCKCYCLETIMES">#REF!</definedName>
    <definedName name="truckprod">#REF!</definedName>
    <definedName name="TRUCKPRODUCTIVITY">#REF!</definedName>
    <definedName name="TSAG">#REF!</definedName>
    <definedName name="TSchedLabor">#REF!</definedName>
    <definedName name="TT" localSheetId="1" hidden="1">{#N/A,#N/A,FALSE,"단축1";#N/A,#N/A,FALSE,"단축2";#N/A,#N/A,FALSE,"단축3";#N/A,#N/A,FALSE,"장축";#N/A,#N/A,FALSE,"4WD"}</definedName>
    <definedName name="TT" hidden="1">{#N/A,#N/A,FALSE,"단축1";#N/A,#N/A,FALSE,"단축2";#N/A,#N/A,FALSE,"단축3";#N/A,#N/A,FALSE,"장축";#N/A,#N/A,FALSE,"4WD"}</definedName>
    <definedName name="tttt" localSheetId="4" hidden="1">INDEX(codematch,1,20)</definedName>
    <definedName name="tttt" localSheetId="5" hidden="1">INDEX(codematch,1,20)</definedName>
    <definedName name="tttt" localSheetId="1" hidden="1">INDEX(codematch,1,20)</definedName>
    <definedName name="tttt" hidden="1">INDEX(codematch,1,20)</definedName>
    <definedName name="ttyy">#REF!</definedName>
    <definedName name="typ">#REF!</definedName>
    <definedName name="U">#REF!</definedName>
    <definedName name="u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COSTFIGURES">#REF!</definedName>
    <definedName name="UOM">#REF!</definedName>
    <definedName name="update">#REF!</definedName>
    <definedName name="us">#REF!</definedName>
    <definedName name="usd">#REF!</definedName>
    <definedName name="Utlidades2">#REF!</definedName>
    <definedName name="v">#REF!</definedName>
    <definedName name="Variation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ssy" localSheetId="1" hidden="1">{#N/A,#N/A,FALSE,"Matrix";#N/A,#N/A,FALSE,"Executive";#N/A,#N/A,FALSE,"Summary"}</definedName>
    <definedName name="vassy" hidden="1">{#N/A,#N/A,FALSE,"Matrix";#N/A,#N/A,FALSE,"Executive";#N/A,#N/A,FALSE,"Summary"}</definedName>
    <definedName name="vc">#REF!</definedName>
    <definedName name="Vg">#REF!</definedName>
    <definedName name="vgdr">#REF!</definedName>
    <definedName name="Vgr">#REF!</definedName>
    <definedName name="vgzu">#REF!</definedName>
    <definedName name="vital5">#REF!</definedName>
    <definedName name="vo">#REF!</definedName>
    <definedName name="voith4">#REF!</definedName>
    <definedName name="voith6">#REF!</definedName>
    <definedName name="VR">#REF!</definedName>
    <definedName name="VRS">#REF!</definedName>
    <definedName name="vs">#REF!</definedName>
    <definedName name="vt">#REF!</definedName>
    <definedName name="vv">#REF!</definedName>
    <definedName name="w">#REF!</definedName>
    <definedName name="WALL">#REF!,#REF!,#REF!,#REF!,#REF!,#REF!,#REF!</definedName>
    <definedName name="Warranty">#REF!</definedName>
    <definedName name="WarrantyTotal">#REF!</definedName>
    <definedName name="WATERCARTCOST">#REF!</definedName>
    <definedName name="WaterCartType">#REF!</definedName>
    <definedName name="wb">#REF!</definedName>
    <definedName name="WBS">#REF!</definedName>
    <definedName name="WBSL">#REF!</definedName>
    <definedName name="wd">#REF!</definedName>
    <definedName name="WEARF" localSheetId="1" hidden="1">{#N/A,#N/A,TRUE,"Y생산";#N/A,#N/A,TRUE,"Y판매";#N/A,#N/A,TRUE,"Y총물량";#N/A,#N/A,TRUE,"Y능력";#N/A,#N/A,TRUE,"YKD"}</definedName>
    <definedName name="WEARF" hidden="1">{#N/A,#N/A,TRUE,"Y생산";#N/A,#N/A,TRUE,"Y판매";#N/A,#N/A,TRUE,"Y총물량";#N/A,#N/A,TRUE,"Y능력";#N/A,#N/A,TRUE,"YKD"}</definedName>
    <definedName name="Weight_Summary">#REF!</definedName>
    <definedName name="Welder">#REF!</definedName>
    <definedName name="WelderHDPE">#REF!</definedName>
    <definedName name="WelderPipe">#REF!</definedName>
    <definedName name="WelderPressure">#REF!</definedName>
    <definedName name="Wellpad_Tbl">#REF!</definedName>
    <definedName name="weq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h" hidden="1">#REF!</definedName>
    <definedName name="WIDTH">#REF!</definedName>
    <definedName name="wm">#REF!</definedName>
    <definedName name="wm10b2">#REF!</definedName>
    <definedName name="wm10b3">#REF!</definedName>
    <definedName name="wm15b2">#REF!</definedName>
    <definedName name="wm15b3">#REF!</definedName>
    <definedName name="WorkPackList">#REF!</definedName>
    <definedName name="Works">#REF!</definedName>
    <definedName name="wq" localSheetId="1" hidden="1">{"EXEC",#N/A,FALSE,"Header";"EXEC_4",#N/A,FALSE,"Summary_4"}</definedName>
    <definedName name="wq" hidden="1">{"EXEC",#N/A,FALSE,"Header";"EXEC_4",#N/A,FALSE,"Summary_4"}</definedName>
    <definedName name="WRAP">#REF!</definedName>
    <definedName name="wrn" localSheetId="1" hidden="1">{#N/A,#N/A,FALSE,"subcontract"}</definedName>
    <definedName name="wrn" hidden="1">{#N/A,#N/A,FALSE,"subcontract"}</definedName>
    <definedName name="wrn.4a01." localSheetId="1" hidden="1">{"all1",#N/A,FALSE,"Header";"all1",#N/A,FALSE,"4a101";"all1",#N/A,FALSE,"4a201";"all1",#N/A,FALSE,"4a301";"all1",#N/A,FALSE,"4a401";"all1",#N/A,FALSE,"4a501"}</definedName>
    <definedName name="wrn.4a01." hidden="1">{"all1",#N/A,FALSE,"Header";"all1",#N/A,FALSE,"4a101";"all1",#N/A,FALSE,"4a201";"all1",#N/A,FALSE,"4a301";"all1",#N/A,FALSE,"4a401";"all1",#N/A,FALSE,"4a501"}</definedName>
    <definedName name="wrn.4a10." localSheetId="1" hidden="1">{"all1",#N/A,FALSE,"Header";"all1",#N/A,FALSE,"4a101";"all1",#N/A,FALSE,"4a201";"all1",#N/A,FALSE,"4a301";"all1",#N/A,FALSE,"4a401";"all1",#N/A,FALSE,"4a102";"all1",#N/A,FALSE,"4a501";"all1",#N/A,FALSE,"4a202";"all1",#N/A,FALSE,"4a302";"all1",#N/A,FALSE,"4a402";"all1",#N/A,FALSE,"4a502";"all1",#N/A,FALSE,"Summary 01 02 loa"}</definedName>
    <definedName name="wrn.4a10." hidden="1">{"all1",#N/A,FALSE,"Header";"all1",#N/A,FALSE,"4a101";"all1",#N/A,FALSE,"4a201";"all1",#N/A,FALSE,"4a301";"all1",#N/A,FALSE,"4a401";"all1",#N/A,FALSE,"4a102";"all1",#N/A,FALSE,"4a501";"all1",#N/A,FALSE,"4a202";"all1",#N/A,FALSE,"4a302";"all1",#N/A,FALSE,"4a402";"all1",#N/A,FALSE,"4a502";"all1",#N/A,FALSE,"Summary 01 02 loa"}</definedName>
    <definedName name="wrn.6a09" localSheetId="1" hidden="1">{"all1",#N/A,FALSE,"Header";"ALL1",#N/A,FALSE,"CAF";"all1",#N/A,FALSE,"slopes";"all1",#N/A,FALSE,"MCOSTM 2b";"all1",#N/A,FALSE,"MCOSTM 5a";"all1",#N/A,FALSE,"Block Limits";"all1",#N/A,FALSE,"Summary";"all1",#N/A,FALSE,"Fixed Costs  &amp; Optim Capital";"all1",#N/A,FALSE,"Contract Rates";"all1",#N/A,FALSE,"FS Prod Schedule";"all1",#N/A,FALSE,"Shifts &amp; Constants";"all1",#N/A,FALSE,"Shovel 400 t";"all1",#N/A,FALSE,"L&amp;H_Prod";"all1",#N/A,FALSE,"Labour";"all1",#N/A,FALSE,"Trucks";"all1",#N/A,FALSE,"Blast";"all1",#N/A,FALSE,"Drill";"all1",#N/A,FALSE,"Service_Eq.";"all1",#N/A,FALSE,"Dewater";"all1",#N/A,FALSE,"Haul road profiles"}</definedName>
    <definedName name="wrn.6a09" hidden="1">{"all1",#N/A,FALSE,"Header";"ALL1",#N/A,FALSE,"CAF";"all1",#N/A,FALSE,"slopes";"all1",#N/A,FALSE,"MCOSTM 2b";"all1",#N/A,FALSE,"MCOSTM 5a";"all1",#N/A,FALSE,"Block Limits";"all1",#N/A,FALSE,"Summary";"all1",#N/A,FALSE,"Fixed Costs  &amp; Optim Capital";"all1",#N/A,FALSE,"Contract Rates";"all1",#N/A,FALSE,"FS Prod Schedule";"all1",#N/A,FALSE,"Shifts &amp; Constants";"all1",#N/A,FALSE,"Shovel 400 t";"all1",#N/A,FALSE,"L&amp;H_Prod";"all1",#N/A,FALSE,"Labour";"all1",#N/A,FALSE,"Trucks";"all1",#N/A,FALSE,"Blast";"all1",#N/A,FALSE,"Drill";"all1",#N/A,FALSE,"Service_Eq.";"all1",#N/A,FALSE,"Dewater";"all1",#N/A,FALSE,"Haul road profiles"}</definedName>
    <definedName name="wrn.6a10." localSheetId="1" hidden="1">{"all1",#N/A,FALSE,"Header";"all1",#N/A,FALSE,"6a108";"all1",#N/A,FALSE,"6a103";"all1",#N/A,FALSE,"6a104";"all1",#N/A,FALSE,"6a105";"all1",#N/A,FALSE,"6a106";"all1",#N/A,FALSE,"6a107";"all1",#N/A,FALSE,"6a102"}</definedName>
    <definedName name="wrn.6a10." hidden="1">{"all1",#N/A,FALSE,"Header";"all1",#N/A,FALSE,"6a108";"all1",#N/A,FALSE,"6a103";"all1",#N/A,FALSE,"6a104";"all1",#N/A,FALSE,"6a105";"all1",#N/A,FALSE,"6a106";"all1",#N/A,FALSE,"6a107";"all1",#N/A,FALSE,"6a102"}</definedName>
    <definedName name="wrn.6a11" localSheetId="1" hidden="1">{"all1",#N/A,FALSE,"Header";"all1",#N/A,FALSE,"6a108";"all1",#N/A,FALSE,"6a103";"all1",#N/A,FALSE,"6a104";"all1",#N/A,FALSE,"6a105";"all1",#N/A,FALSE,"6a106";"all1",#N/A,FALSE,"6a107";"all1",#N/A,FALSE,"6a102"}</definedName>
    <definedName name="wrn.6a11" hidden="1">{"all1",#N/A,FALSE,"Header";"all1",#N/A,FALSE,"6a108";"all1",#N/A,FALSE,"6a103";"all1",#N/A,FALSE,"6a104";"all1",#N/A,FALSE,"6a105";"all1",#N/A,FALSE,"6a106";"all1",#N/A,FALSE,"6a107";"all1",#N/A,FALSE,"6a102"}</definedName>
    <definedName name="wrn.all.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.lines." localSheetId="1" hidden="1">{#N/A,#N/A,FALSE,"Summary";#N/A,#N/A,FALSE,"3TJ";#N/A,#N/A,FALSE,"3TN";#N/A,#N/A,FALSE,"3TP";#N/A,#N/A,FALSE,"3SJ";#N/A,#N/A,FALSE,"3CJ";#N/A,#N/A,FALSE,"3CN";#N/A,#N/A,FALSE,"3CP";#N/A,#N/A,FALSE,"3A"}</definedName>
    <definedName name="wrn.all._.lines." hidden="1">{#N/A,#N/A,FALSE,"Summary";#N/A,#N/A,FALSE,"3TJ";#N/A,#N/A,FALSE,"3TN";#N/A,#N/A,FALSE,"3TP";#N/A,#N/A,FALSE,"3SJ";#N/A,#N/A,FALSE,"3CJ";#N/A,#N/A,FALSE,"3CN";#N/A,#N/A,FALSE,"3CP";#N/A,#N/A,FALSE,"3A"}</definedName>
    <definedName name="wrn.all1." localSheetId="1" hidden="1">{"all1",#N/A,FALSE,"Header";"all1",#N/A,FALSE,"CAF";"all1",#N/A,FALSE,"MCOSTM 2b";"all1",#N/A,FALSE,"MCOSTM 5a";"all1",#N/A,FALSE,"Block Limits";"all1",#N/A,FALSE,"Summary";"all1",#N/A,FALSE,"Fixed Costs  &amp; Optim Capital";"all1",#N/A,FALSE,"Contract Rates";"all1",#N/A,FALSE,"Equipment Hourly Hire";"all1",#N/A,FALSE,"FS Prod Schedule";"all1",#N/A,FALSE,"Shifts &amp; Constants";"all1",#N/A,FALSE,"RH200";"all1",#N/A,FALSE,"L&amp;H_Prod";"all1",#N/A,FALSE,"Labour";"all1",#N/A,FALSE,"Labour Cost";"all1",#N/A,FALSE,"Trucks";"all1",#N/A,FALSE,"Blast";"all1",#N/A,FALSE,"Drill";"all1",#N/A,FALSE,"Service_Eq.";"all1",#N/A,FALSE,"Dewater";"all1",#N/A,FALSE,"Haul road profiles";"all1",#N/A,FALSE,"Process Original";"all1",#N/A,FALSE,"Process Capital";"all1",#N/A,FALSE,"Process opex_check";"all1",#N/A,FALSE,"Process opex_detail"}</definedName>
    <definedName name="wrn.all1." hidden="1">{"all1",#N/A,FALSE,"Header";"all1",#N/A,FALSE,"CAF";"all1",#N/A,FALSE,"MCOSTM 2b";"all1",#N/A,FALSE,"MCOSTM 5a";"all1",#N/A,FALSE,"Block Limits";"all1",#N/A,FALSE,"Summary";"all1",#N/A,FALSE,"Fixed Costs  &amp; Optim Capital";"all1",#N/A,FALSE,"Contract Rates";"all1",#N/A,FALSE,"Equipment Hourly Hire";"all1",#N/A,FALSE,"FS Prod Schedule";"all1",#N/A,FALSE,"Shifts &amp; Constants";"all1",#N/A,FALSE,"RH200";"all1",#N/A,FALSE,"L&amp;H_Prod";"all1",#N/A,FALSE,"Labour";"all1",#N/A,FALSE,"Labour Cost";"all1",#N/A,FALSE,"Trucks";"all1",#N/A,FALSE,"Blast";"all1",#N/A,FALSE,"Drill";"all1",#N/A,FALSE,"Service_Eq.";"all1",#N/A,FALSE,"Dewater";"all1",#N/A,FALSE,"Haul road profiles";"all1",#N/A,FALSE,"Process Original";"all1",#N/A,FALSE,"Process Capital";"all1",#N/A,FALSE,"Process opex_check";"all1",#N/A,FALSE,"Process opex_detail"}</definedName>
    <definedName name="wrn.all1a." localSheetId="1" hidden="1">{"all1",#N/A,FALSE,"Header";"ALL1",#N/A,FALSE,"CAF";"all1",#N/A,FALSE,"slopes";"all1",#N/A,FALSE,"MCOSTM 2b";"all1",#N/A,FALSE,"MCOSTM 5a";"all1",#N/A,FALSE,"Block Limits";"all1",#N/A,FALSE,"Summary";"all1",#N/A,FALSE,"Fixed Costs  &amp; Optim Capital";"all1",#N/A,FALSE,"Contract Rates";"all1",#N/A,FALSE,"FS Prod Schedule";"all1",#N/A,FALSE,"Shifts &amp; Constants";"all1",#N/A,FALSE,"Shovel 400 t";"all1",#N/A,FALSE,"L&amp;H_Prod";"all1",#N/A,FALSE,"Labour";"all1",#N/A,FALSE,"Trucks";"all1",#N/A,FALSE,"Blast";"all1",#N/A,FALSE,"Drill";"all1",#N/A,FALSE,"Service_Eq.";"all1",#N/A,FALSE,"Dewater";"all1",#N/A,FALSE,"Haul road profiles"}</definedName>
    <definedName name="wrn.all1a." hidden="1">{"all1",#N/A,FALSE,"Header";"ALL1",#N/A,FALSE,"CAF";"all1",#N/A,FALSE,"slopes";"all1",#N/A,FALSE,"MCOSTM 2b";"all1",#N/A,FALSE,"MCOSTM 5a";"all1",#N/A,FALSE,"Block Limits";"all1",#N/A,FALSE,"Summary";"all1",#N/A,FALSE,"Fixed Costs  &amp; Optim Capital";"all1",#N/A,FALSE,"Contract Rates";"all1",#N/A,FALSE,"FS Prod Schedule";"all1",#N/A,FALSE,"Shifts &amp; Constants";"all1",#N/A,FALSE,"Shovel 400 t";"all1",#N/A,FALSE,"L&amp;H_Prod";"all1",#N/A,FALSE,"Labour";"all1",#N/A,FALSE,"Trucks";"all1",#N/A,FALSE,"Blast";"all1",#N/A,FALSE,"Drill";"all1",#N/A,FALSE,"Service_Eq.";"all1",#N/A,FALSE,"Dewater";"all1",#N/A,FALSE,"Haul road profiles"}</definedName>
    <definedName name="wrn.all1data." localSheetId="1" hidden="1">{"tab321",#N/A,FALSE,"CAF";"all1",#N/A,FALSE,"Header";"all1",#N/A,FALSE,"WMC DATA";"all1",#N/A,FALSE,"Slopes";"all1",#N/A,FALSE,"CAF";"all1",#N/A,FALSE,"MCOSTM 1A"}</definedName>
    <definedName name="wrn.all1data." hidden="1">{"tab321",#N/A,FALSE,"CAF";"all1",#N/A,FALSE,"Header";"all1",#N/A,FALSE,"WMC DATA";"all1",#N/A,FALSE,"Slopes";"all1",#N/A,FALSE,"CAF";"all1",#N/A,FALSE,"MCOSTM 1A"}</definedName>
    <definedName name="wrn.ang._.Summary." localSheetId="1" hidden="1">{#N/A,#N/A,FALSE,"subcontract"}</definedName>
    <definedName name="wrn.ang._.Summary." hidden="1">{#N/A,#N/A,FALSE,"subcontract"}</definedName>
    <definedName name="wrn.ARA." localSheetId="1" hidden="1">{"ARA1",#N/A,FALSE,"ENG-ARA";"ARAhours",#N/A,FALSE,"ENG-ARA";"ARA$",#N/A,FALSE,"ENG-ARA"}</definedName>
    <definedName name="wrn.ARA." hidden="1">{"ARA1",#N/A,FALSE,"ENG-ARA";"ARAhours",#N/A,FALSE,"ENG-ARA";"ARA$",#N/A,FALSE,"ENG-ARA"}</definedName>
    <definedName name="wrn.bechtel._.hours." localSheetId="1" hidden="1">{"bechtel1",#N/A,TRUE,"BECHTEL";"bechtelhours",#N/A,TRUE,"BECHTEL";"bechtel$",#N/A,TRUE,"BECHTEL"}</definedName>
    <definedName name="wrn.bechtel._.hours." hidden="1">{"bechtel1",#N/A,TRUE,"BECHTEL";"bechtelhours",#N/A,TRUE,"BECHTEL";"bechtel$",#N/A,TRUE,"BECHTEL"}</definedName>
    <definedName name="wrn.business._.unit._.report." localSheetId="1" hidden="1">{"execsummary",#N/A,FALSE,"Exec Summ";"profitloss",#N/A,FALSE,"Profit &amp; Loss";"cashflow",#N/A,FALSE,"Cash Flow";"balancesheet",#N/A,FALSE,"Balance Sheet";"production",#N/A,FALSE,"Production";"prodgraphs",#N/A,FALSE,"Prod Graphs";"sales",#N/A,FALSE,"Sales";"salesgraphs",#N/A,FALSE,"Sales Graphs"}</definedName>
    <definedName name="wrn.business._.unit._.report." hidden="1">{"execsummary",#N/A,FALSE,"Exec Summ";"profitloss",#N/A,FALSE,"Profit &amp; Loss";"cashflow",#N/A,FALSE,"Cash Flow";"balancesheet",#N/A,FALSE,"Balance Sheet";"production",#N/A,FALSE,"Production";"prodgraphs",#N/A,FALSE,"Prod Graphs";"sales",#N/A,FALSE,"Sales";"salesgraphs",#N/A,FALSE,"Sales Graphs"}</definedName>
    <definedName name="wrn.Client._.PSR." localSheetId="1" hidden="1">{#N/A,#N/A,TRUE,"PSR";#N/A,#N/A,TRUE,"Issues";#N/A,#N/A,TRUE,"Risks";#N/A,#N/A,TRUE,"Changes"}</definedName>
    <definedName name="wrn.Client._.PSR." hidden="1">{#N/A,#N/A,TRUE,"PSR";#N/A,#N/A,TRUE,"Issues";#N/A,#N/A,TRUE,"Risks";#N/A,#N/A,TRUE,"Changes"}</definedName>
    <definedName name="wrn.colorcrvs." localSheetId="1" hidden="1">{"BPCCOLOR",#N/A,FALSE,"CRVS";"NUCCOLOR",#N/A,FALSE,"CRVS";"FOSCOLOR",#N/A,FALSE,"CRVS"}</definedName>
    <definedName name="wrn.colorcrvs." hidden="1">{"BPCCOLOR",#N/A,FALSE,"CRVS";"NUCCOLOR",#N/A,FALSE,"CRVS";"FOSCOLOR",#N/A,FALSE,"CRVS"}</definedName>
    <definedName name="wrn.COST_SHEETS." localSheetId="1" hidden="1">{#N/A,#N/A,FALSE,"WBS 1.06";#N/A,#N/A,FALSE,"WBS 1.14";#N/A,#N/A,FALSE,"WBS 1.17";#N/A,#N/A,FALSE,"WBS 1.18"}</definedName>
    <definedName name="wrn.COST_SHEETS." hidden="1">{#N/A,#N/A,FALSE,"WBS 1.06";#N/A,#N/A,FALSE,"WBS 1.14";#N/A,#N/A,FALSE,"WBS 1.17";#N/A,#N/A,FALSE,"WBS 1.18"}</definedName>
    <definedName name="wrn.cost07." localSheetId="1" hidden="1">{"header",#N/A,FALSE,"Header";#N/A,#N/A,FALSE,"Road Map";"costHPS",#N/A,FALSE,"Cost_HP Summary";"drillcost",#N/A,FALSE,"Drill";"drillprod",#N/A,FALSE,"Drill";"blastpara",#N/A,FALSE,"Blast";"4100xpb7000US",#N/A,FALSE,"4100xpb7000US$";"fuelcon",#N/A,FALSE,"FuelCon";"gradecon",#N/A,FALSE,"Grade Control ";"equipfreight",#N/A,FALSE,"Equipfreight";"Kamcatmaint",#N/A,FALSE,"KomCat maint";"labourrates",#N/A,FALSE,"Labour Cost";"labour1",#N/A,FALSE,"Labour";"labour2",#N/A,FALSE,"Labour";"labour3",#N/A,FALSE,"Labour";#N/A,#N/A,FALSE,"MCOG";#N/A,#N/A,FALSE,"Shovel";"costsumdet",#N/A,FALSE,"Cost Summary";"costsumapp",#N/A,FALSE,"Cost Summary";"equsched1",#N/A,FALSE,"Equipment Schedule";"equsched2",#N/A,FALSE,"Equipment Schedule";"equsched3",#N/A,FALSE,"Equipment Schedule";"equsched4",#N/A,FALSE,"Equipment Schedule";"shftcnst",#N/A,FALSE,"Shifts &amp; Constants";"serveq1",#N/A,FALSE,"Service_Eq.";"serveq2",#N/A,FALSE,"Service_Eq.";"O&amp;Kshovel",#N/A,FALSE,"RH200";"truck1",#N/A,FALSE,"Trucks";"truckgraf",#N/A,FALSE,"Trucks";"dewater",#N/A,FALSE,"Dewater";"aasumdes",#N/A,FALSE,"Summary Design 1a";"aasumdes",#N/A,FALSE,"Summary Design 2a";"aasumdes",#N/A,FALSE,"Summary Design 3a";"aasumdes",#N/A,FALSE,"Summary Design 4a";"aasumdes",#N/A,FALSE,"Summary Design 5a";"aasumdes",#N/A,FALSE,"Summary Design 6a";"l&amp;Hall",#N/A,FALSE,"L&amp;H_Pit 1a4100";"l&amp;Hall",#N/A,FALSE,"L&amp;H_Pit 2a4100";"l&amp;Hall",#N/A,FALSE,"L&amp;H_Pit 3a4100";"l&amp;Hall",#N/A,FALSE,"L&amp;H_Pit 4a4100";"l&amp;Hall",#N/A,FALSE,"L&amp;H_Pit 5a4100";"l&amp;Hall",#N/A,FALSE,"L&amp;H_Pit 6a4100";"l&amp;Hall",#N/A,FALSE,"L&amp;H_Pit 1a994";"l&amp;Hall",#N/A,FALSE,"L&amp;H_Pit 2a994";"l&amp;Hall",#N/A,FALSE,"L&amp;H_Pit 3a994";"l&amp;Hall",#N/A,FALSE,"L&amp;H_Pit 4a994";"l&amp;Hall",#N/A,FALSE,"L&amp;H_Pit 5a994";"l&amp;Hall",#N/A,FALSE,"L&amp;H_Pit 6a994";"l&amp;Hall",#N/A,FALSE,"L&amp;H_Pit 1aRH200";"summdes1",#N/A,FALSE,"Summary Design 1a";"sumdesx",#N/A,FALSE,"Summary Design 2a";"sumdesx",#N/A,FALSE,"Summary Design 3a";"sumdesx",#N/A,FALSE,"Summary Design 4a";"sumdesx",#N/A,FALSE,"Summary Design 5a";"sumdesx",#N/A,FALSE,"Summary Design 6a"}</definedName>
    <definedName name="wrn.cost07." hidden="1">{"header",#N/A,FALSE,"Header";#N/A,#N/A,FALSE,"Road Map";"costHPS",#N/A,FALSE,"Cost_HP Summary";"drillcost",#N/A,FALSE,"Drill";"drillprod",#N/A,FALSE,"Drill";"blastpara",#N/A,FALSE,"Blast";"4100xpb7000US",#N/A,FALSE,"4100xpb7000US$";"fuelcon",#N/A,FALSE,"FuelCon";"gradecon",#N/A,FALSE,"Grade Control ";"equipfreight",#N/A,FALSE,"Equipfreight";"Kamcatmaint",#N/A,FALSE,"KomCat maint";"labourrates",#N/A,FALSE,"Labour Cost";"labour1",#N/A,FALSE,"Labour";"labour2",#N/A,FALSE,"Labour";"labour3",#N/A,FALSE,"Labour";#N/A,#N/A,FALSE,"MCOG";#N/A,#N/A,FALSE,"Shovel";"costsumdet",#N/A,FALSE,"Cost Summary";"costsumapp",#N/A,FALSE,"Cost Summary";"equsched1",#N/A,FALSE,"Equipment Schedule";"equsched2",#N/A,FALSE,"Equipment Schedule";"equsched3",#N/A,FALSE,"Equipment Schedule";"equsched4",#N/A,FALSE,"Equipment Schedule";"shftcnst",#N/A,FALSE,"Shifts &amp; Constants";"serveq1",#N/A,FALSE,"Service_Eq.";"serveq2",#N/A,FALSE,"Service_Eq.";"O&amp;Kshovel",#N/A,FALSE,"RH200";"truck1",#N/A,FALSE,"Trucks";"truckgraf",#N/A,FALSE,"Trucks";"dewater",#N/A,FALSE,"Dewater";"aasumdes",#N/A,FALSE,"Summary Design 1a";"aasumdes",#N/A,FALSE,"Summary Design 2a";"aasumdes",#N/A,FALSE,"Summary Design 3a";"aasumdes",#N/A,FALSE,"Summary Design 4a";"aasumdes",#N/A,FALSE,"Summary Design 5a";"aasumdes",#N/A,FALSE,"Summary Design 6a";"l&amp;Hall",#N/A,FALSE,"L&amp;H_Pit 1a4100";"l&amp;Hall",#N/A,FALSE,"L&amp;H_Pit 2a4100";"l&amp;Hall",#N/A,FALSE,"L&amp;H_Pit 3a4100";"l&amp;Hall",#N/A,FALSE,"L&amp;H_Pit 4a4100";"l&amp;Hall",#N/A,FALSE,"L&amp;H_Pit 5a4100";"l&amp;Hall",#N/A,FALSE,"L&amp;H_Pit 6a4100";"l&amp;Hall",#N/A,FALSE,"L&amp;H_Pit 1a994";"l&amp;Hall",#N/A,FALSE,"L&amp;H_Pit 2a994";"l&amp;Hall",#N/A,FALSE,"L&amp;H_Pit 3a994";"l&amp;Hall",#N/A,FALSE,"L&amp;H_Pit 4a994";"l&amp;Hall",#N/A,FALSE,"L&amp;H_Pit 5a994";"l&amp;Hall",#N/A,FALSE,"L&amp;H_Pit 6a994";"l&amp;Hall",#N/A,FALSE,"L&amp;H_Pit 1aRH200";"summdes1",#N/A,FALSE,"Summary Design 1a";"sumdesx",#N/A,FALSE,"Summary Design 2a";"sumdesx",#N/A,FALSE,"Summary Design 3a";"sumdesx",#N/A,FALSE,"Summary Design 4a";"sumdesx",#N/A,FALSE,"Summary Design 5a";"sumdesx",#N/A,FALSE,"Summary Design 6a"}</definedName>
    <definedName name="wrn.data." localSheetId="1" hidden="1">{"data",#N/A,FALSE,"OP_SUM"}</definedName>
    <definedName name="wrn.data." hidden="1">{"data",#N/A,FALSE,"OP_SUM"}</definedName>
    <definedName name="wrn.datadetail." localSheetId="1" hidden="1">{"datadetail",#N/A,FALSE,"QFD"}</definedName>
    <definedName name="wrn.datadetail." hidden="1">{"datadetail",#N/A,FALSE,"QFD"}</definedName>
    <definedName name="wrn.Design._.Estimate." localSheetId="1" hidden="1">{"Design Estimate",#N/A,FALSE,"DesignEst"}</definedName>
    <definedName name="wrn.Design._.Estimate." hidden="1">{"Design Estimate",#N/A,FALSE,"DesignEst"}</definedName>
    <definedName name="wrn.Detail.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EM." localSheetId="1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stimated._.Quantities." localSheetId="1" hidden="1">{#N/A,#N/A,TRUE,"Summary";#N/A,#N/A,TRUE,"DRE";#N/A,#N/A,TRUE,"Graphs";#N/A,#N/A,TRUE,"Sum Edit";#N/A,#N/A,TRUE,"Sum Inv";#N/A,#N/A,TRUE,"Sum Sched"}</definedName>
    <definedName name="wrn.Estimated._.Quantities." hidden="1">{#N/A,#N/A,TRUE,"Summary";#N/A,#N/A,TRUE,"DRE";#N/A,#N/A,TRUE,"Graphs";#N/A,#N/A,TRUE,"Sum Edit";#N/A,#N/A,TRUE,"Sum Inv";#N/A,#N/A,TRUE,"Sum Sched"}</definedName>
    <definedName name="wrn.EXEC_1." localSheetId="1" hidden="1">{"EXEC",#N/A,TRUE,"Header";"EXEC_1",#N/A,TRUE,"Summary_1"}</definedName>
    <definedName name="wrn.EXEC_1." hidden="1">{"EXEC",#N/A,TRUE,"Header";"EXEC_1",#N/A,TRUE,"Summary_1"}</definedName>
    <definedName name="wrn.EXEC_2." localSheetId="1" hidden="1">{"EXEC",#N/A,FALSE,"Header";"EXEC_2",#N/A,FALSE,"Summary_2"}</definedName>
    <definedName name="wrn.EXEC_2." hidden="1">{"EXEC",#N/A,FALSE,"Header";"EXEC_2",#N/A,FALSE,"Summary_2"}</definedName>
    <definedName name="wrn.EXEC_3." localSheetId="1" hidden="1">{"EXEC",#N/A,FALSE,"Header";"EXEC_3",#N/A,FALSE,"Summary_3"}</definedName>
    <definedName name="wrn.EXEC_3." hidden="1">{"EXEC",#N/A,FALSE,"Header";"EXEC_3",#N/A,FALSE,"Summary_3"}</definedName>
    <definedName name="wrn.EXEC_4." localSheetId="1" hidden="1">{"EXEC",#N/A,FALSE,"Header";"EXEC_4",#N/A,FALSE,"Summary_4"}</definedName>
    <definedName name="wrn.EXEC_4." hidden="1">{"EXEC",#N/A,FALSE,"Header";"EXEC_4",#N/A,FALSE,"Summary_4"}</definedName>
    <definedName name="wrn.Forms." localSheetId="1" hidden="1">{#N/A,#N/A,FALSE,"E-1";#N/A,#N/A,FALSE,"E-2";#N/A,#N/A,FALSE,"F-1";#N/A,#N/A,FALSE,"F-2";#N/A,#N/A,FALSE,"F-3";#N/A,#N/A,FALSE,"F-4";#N/A,#N/A,FALSE,"F-5";#N/A,#N/A,FALSE,"F-6";#N/A,#N/A,FALSE,"Matrix"}</definedName>
    <definedName name="wrn.Forms." hidden="1">{#N/A,#N/A,FALSE,"E-1";#N/A,#N/A,FALSE,"E-2";#N/A,#N/A,FALSE,"F-1";#N/A,#N/A,FALSE,"F-2";#N/A,#N/A,FALSE,"F-3";#N/A,#N/A,FALSE,"F-4";#N/A,#N/A,FALSE,"F-5";#N/A,#N/A,FALSE,"F-6";#N/A,#N/A,FALSE,"Matrix"}</definedName>
    <definedName name="wrn.GARO._.PERSNL._.REPORT." localSheetId="1" hidden="1">{"garo personnel",#N/A,FALSE;"personnel by location",#N/A,FALSE;"garo_graph",#N/A,FALSE}</definedName>
    <definedName name="wrn.GARO._.PERSNL._.REPORT." hidden="1">{"garo personnel",#N/A,FALSE;"personnel by location",#N/A,FALSE;"garo_graph",#N/A,FALSE}</definedName>
    <definedName name="wrn.Inputdata." localSheetId="1" hidden="1">{"Header",#N/A,FALSE,"Header";"CAF",#N/A,FALSE,"CAF";"mcostm",#N/A,FALSE,"MCOSTM 1A";"slopes",#N/A,FALSE,"Slopes";"blocksA4",#N/A,FALSE,"Block Limits";"data",#N/A,FALSE,"WMC DATA";"csvoutput",#N/A,FALSE,"DOM100.csv"}</definedName>
    <definedName name="wrn.Inputdata." hidden="1">{"Header",#N/A,FALSE,"Header";"CAF",#N/A,FALSE,"CAF";"mcostm",#N/A,FALSE,"MCOSTM 1A";"slopes",#N/A,FALSE,"Slopes";"blocksA4",#N/A,FALSE,"Block Limits";"data",#N/A,FALSE,"WMC DATA";"csvoutput",#N/A,FALSE,"DOM100.csv"}</definedName>
    <definedName name="wrn.MVMCC." localSheetId="1" hidden="1">{#N/A,#N/A,FALSE,"Motor-Load Data";#N/A,#N/A,FALSE,"Motor-Load Data"}</definedName>
    <definedName name="wrn.MVMCC." hidden="1">{#N/A,#N/A,FALSE,"Motor-Load Data";#N/A,#N/A,FALSE,"Motor-Load Data"}</definedName>
    <definedName name="wrn.Nelson._.Summary." localSheetId="1" hidden="1">{#N/A,#N/A,FALSE,"subcontract"}</definedName>
    <definedName name="wrn.Nelson._.Summary." hidden="1">{#N/A,#N/A,FALSE,"subcontract"}</definedName>
    <definedName name="wrn.PENDENCIAS.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RF._.RPT._.GRAPHS." localSheetId="1" hidden="1">{#N/A,#N/A,FALSE,"OTHER GRAPHS";#N/A,#N/A,FALSE,"CAPITAL GRAPH"}</definedName>
    <definedName name="wrn.PERF._.RPT._.GRAPHS." hidden="1">{#N/A,#N/A,FALSE,"OTHER GRAPHS";#N/A,#N/A,FALSE,"CAPITAL GRAPH"}</definedName>
    <definedName name="wrn.PrintallD.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OCART." localSheetId="1" hidden="1">{#N/A,#N/A,FALSE,"MAQUINA"}</definedName>
    <definedName name="wrn.PROCART." hidden="1">{#N/A,#N/A,FALSE,"MAQUINA"}</definedName>
    <definedName name="wrn.Production._.Forecast._.55._.pct._.44._.wells._.per._.group._.two._.years._.to._.peak." localSheetId="1" hidden="1">{#N/A,#N/A,FALSE,"Sheet5";#N/A,#N/A,FALSE,"Sheet5"}</definedName>
    <definedName name="wrn.Production._.Forecast._.55._.pct._.44._.wells._.per._.group._.two._.years._.to._.peak." hidden="1">{#N/A,#N/A,FALSE,"Sheet5";#N/A,#N/A,FALSE,"Sheet5"}</definedName>
    <definedName name="wrn.profiles." localSheetId="1" hidden="1">{"BPC",#N/A,FALSE,"PRO";"NUC",#N/A,FALSE,"PRO";"FOS",#N/A,FALSE,"PRO"}</definedName>
    <definedName name="wrn.profiles." hidden="1">{"BPC",#N/A,FALSE,"PRO";"NUC",#N/A,FALSE,"PRO";"FOS",#N/A,FALSE,"PRO"}</definedName>
    <definedName name="wrn.prospects." localSheetId="1" hidden="1">{#N/A,#N/A,FALSE,"FCST94";#N/A,#N/A,FALSE,"FIRM";#N/A,#N/A,FALSE,"BACK94";#N/A,#N/A,FALSE,"FCST95";#N/A,#N/A,FALSE,"BACK95";#N/A,#N/A,FALSE,"FCST96"}</definedName>
    <definedName name="wrn.prospects." hidden="1">{#N/A,#N/A,FALSE,"FCST94";#N/A,#N/A,FALSE,"FIRM";#N/A,#N/A,FALSE,"BACK94";#N/A,#N/A,FALSE,"FCST95";#N/A,#N/A,FALSE,"BACK95";#N/A,#N/A,FALSE,"FCST96"}</definedName>
    <definedName name="wrn.run10." localSheetId="1" hidden="1">{"all1",#N/A,FALSE,"Header";"all1",#N/A,FALSE,"110";"all1",#N/A,FALSE,"210";"all1",#N/A,FALSE,"310";"all1",#N/A,FALSE,"410";"all1",#N/A,FALSE,"510"}</definedName>
    <definedName name="wrn.run10." hidden="1">{"all1",#N/A,FALSE,"Header";"all1",#N/A,FALSE,"110";"all1",#N/A,FALSE,"210";"all1",#N/A,FALSE,"310";"all1",#N/A,FALSE,"410";"all1",#N/A,FALSE,"510"}</definedName>
    <definedName name="wrn.run1415." localSheetId="1" hidden="1">{"all1",#N/A,FALSE,"Header";"all1",#N/A,FALSE,"113";"all1",#N/A,FALSE,"213";"all1",#N/A,FALSE,"313";"all1",#N/A,FALSE,"413";"all1",#N/A,FALSE,"513";"all1",#N/A,FALSE,"215"}</definedName>
    <definedName name="wrn.run1415." hidden="1">{"all1",#N/A,FALSE,"Header";"all1",#N/A,FALSE,"113";"all1",#N/A,FALSE,"213";"all1",#N/A,FALSE,"313";"all1",#N/A,FALSE,"413";"all1",#N/A,FALSE,"513";"all1",#N/A,FALSE,"215"}</definedName>
    <definedName name="wrn.run17." localSheetId="1" hidden="1">{"all1",#N/A,FALSE,"Header";"all1",#N/A,FALSE,"117";"all1",#N/A,FALSE,"217";"all1",#N/A,FALSE,"317";"all1",#N/A,FALSE,"417";"all1",#N/A,FALSE,"517";"all1",#N/A,FALSE,"114";"all1",#N/A,FALSE,"214";"all1",#N/A,FALSE,"314";"all1",#N/A,FALSE,"414";"all1",#N/A,FALSE,"514";"all1",#N/A,FALSE,"Summary"}</definedName>
    <definedName name="wrn.run17." hidden="1">{"all1",#N/A,FALSE,"Header";"all1",#N/A,FALSE,"117";"all1",#N/A,FALSE,"217";"all1",#N/A,FALSE,"317";"all1",#N/A,FALSE,"417";"all1",#N/A,FALSE,"517";"all1",#N/A,FALSE,"114";"all1",#N/A,FALSE,"214";"all1",#N/A,FALSE,"314";"all1",#N/A,FALSE,"414";"all1",#N/A,FALSE,"514";"all1",#N/A,FALSE,"Summary"}</definedName>
    <definedName name="wrn.run19." localSheetId="1" hidden="1">{"all1",#N/A,FALSE,"Header";"all1",#N/A,FALSE,"Summary 19 20 loa";"all1",#N/A,FALSE,"218";#N/A,#N/A,FALSE,"119";"all1",#N/A,FALSE,"119";"all1",#N/A,FALSE,"219";"all1",#N/A,FALSE,"319";"all1",#N/A,FALSE,"419";"all1",#N/A,FALSE,"519"}</definedName>
    <definedName name="wrn.run19." hidden="1">{"all1",#N/A,FALSE,"Header";"all1",#N/A,FALSE,"Summary 19 20 loa";"all1",#N/A,FALSE,"218";#N/A,#N/A,FALSE,"119";"all1",#N/A,FALSE,"119";"all1",#N/A,FALSE,"219";"all1",#N/A,FALSE,"319";"all1",#N/A,FALSE,"419";"all1",#N/A,FALSE,"519"}</definedName>
    <definedName name="wrn.run25." localSheetId="1" hidden="1">{"all1",#N/A,FALSE,"Header";"all1",#N/A,FALSE,"125";"all1",#N/A,FALSE,"225";"all1",#N/A,FALSE,"325";"all1",#N/A,FALSE,"425";"all1",#N/A,FALSE,"525"}</definedName>
    <definedName name="wrn.run25." hidden="1">{"all1",#N/A,FALSE,"Header";"all1",#N/A,FALSE,"125";"all1",#N/A,FALSE,"225";"all1",#N/A,FALSE,"325";"all1",#N/A,FALSE,"425";"all1",#N/A,FALSE,"525"}</definedName>
    <definedName name="wrn.SRDBLASTDRILL." localSheetId="1" hidden="1">{"BLASTCOST",#N/A,FALSE,"Blast";"DRILLPRODUCTIVITY",#N/A,FALSE,"Drill"}</definedName>
    <definedName name="wrn.SRDBLASTDRILL." hidden="1">{"BLASTCOST",#N/A,FALSE,"Blast";"DRILLPRODUCTIVITY",#N/A,FALSE,"Drill"}</definedName>
    <definedName name="wrn.SRDCOSTSUMMARYANDPITQUANTITIES." localSheetId="1" hidden="1">{"COST_HPSUMMARY",#N/A,FALSE,"Cost_HP Summary";"COSTSUMMARY",#N/A,FALSE,"Cost Summary";"PITMOVEMENTSUMMARY",#N/A,FALSE,"Equipment Schedule Original"}</definedName>
    <definedName name="wrn.SRDCOSTSUMMARYANDPITQUANTITIES." hidden="1">{"COST_HPSUMMARY",#N/A,FALSE,"Cost_HP Summary";"COSTSUMMARY",#N/A,FALSE,"Cost Summary";"PITMOVEMENTSUMMARY",#N/A,FALSE,"Equipment Schedule Original"}</definedName>
    <definedName name="wrn.SRDCYCLETIMES." localSheetId="1" hidden="1">{"TRUCKCYCLETIMES",#N/A,FALSE,"Cycle Times";"TRUCKPRODUCTIVITY",#N/A,FALSE,"Cycle Times"}</definedName>
    <definedName name="wrn.SRDCYCLETIMES." hidden="1">{"TRUCKCYCLETIMES",#N/A,FALSE,"Cycle Times";"TRUCKPRODUCTIVITY",#N/A,FALSE,"Cycle Times"}</definedName>
    <definedName name="wrn.SRDEQUIPMENT." localSheetId="1" hidden="1">{"EQUIPHRSREQINSERVICE",#N/A,FALSE,"Equipment Schedule Original";"EQUIPSERVLIFEREMAININGPURCHASE",#N/A,FALSE,"Equipment Schedule Original";"EQUIPUPTOFUELUSAGE",#N/A,FALSE,"Equipment Schedule Original"}</definedName>
    <definedName name="wrn.SRDEQUIPMENT." hidden="1">{"EQUIPHRSREQINSERVICE",#N/A,FALSE,"Equipment Schedule Original";"EQUIPSERVLIFEREMAININGPURCHASE",#N/A,FALSE,"Equipment Schedule Original";"EQUIPUPTOFUELUSAGE",#N/A,FALSE,"Equipment Schedule Original"}</definedName>
    <definedName name="wrn.SRDEQUIPMENTNEW." localSheetId="1" hidden="1">{"TABLES111NEWHOURS",#N/A,FALSE,"Equipment Schedule new";"TABLES112NEWEQUIPMENTREQ",#N/A,FALSE,"Equipment Schedule new";"TABLES113NEWEQUIPMENTINSERVICE",#N/A,FALSE,"Equipment Schedule new";"TABLES114NEWEQUIPOPEX",#N/A,FALSE,"Equipment Schedule new";"TABLES115NEWLIFEREMAINING",#N/A,FALSE,"Equipment Schedule new";"TABLES116EQUIPMENTPURCHASE",#N/A,FALSE,"Equipment Schedule new";"TABLES117MINECAPITAL",#N/A,FALSE,"Equipment Schedule new";"TABLES118MINESERVICES",#N/A,FALSE,"Equipment Schedule new";"TABLES119NEWMINEADMIN",#N/A,FALSE,"Equipment Schedule new";"TABLES1110NEWFUEL",#N/A,FALSE,"Equipment Schedule new";"TABLES1111NEWPOWER",#N/A,FALSE,"Equipment Schedule new"}</definedName>
    <definedName name="wrn.SRDEQUIPMENTNEW." hidden="1">{"TABLES111NEWHOURS",#N/A,FALSE,"Equipment Schedule new";"TABLES112NEWEQUIPMENTREQ",#N/A,FALSE,"Equipment Schedule new";"TABLES113NEWEQUIPMENTINSERVICE",#N/A,FALSE,"Equipment Schedule new";"TABLES114NEWEQUIPOPEX",#N/A,FALSE,"Equipment Schedule new";"TABLES115NEWLIFEREMAINING",#N/A,FALSE,"Equipment Schedule new";"TABLES116EQUIPMENTPURCHASE",#N/A,FALSE,"Equipment Schedule new";"TABLES117MINECAPITAL",#N/A,FALSE,"Equipment Schedule new";"TABLES118MINESERVICES",#N/A,FALSE,"Equipment Schedule new";"TABLES119NEWMINEADMIN",#N/A,FALSE,"Equipment Schedule new";"TABLES1110NEWFUEL",#N/A,FALSE,"Equipment Schedule new";"TABLES1111NEWPOWER",#N/A,FALSE,"Equipment Schedule new"}</definedName>
    <definedName name="wrn.SRDLABOUR." localSheetId="1" hidden="1">{"LABOURMANNING",#N/A,FALSE,"Labour";"LABOURMANNEDCOST",#N/A,FALSE,"Labour";"LABOURUNITCOST",#N/A,FALSE,"Labour"}</definedName>
    <definedName name="wrn.SRDLABOUR." hidden="1">{"LABOURMANNING",#N/A,FALSE,"Labour";"LABOURMANNEDCOST",#N/A,FALSE,"Labour";"LABOURUNITCOST",#N/A,FALSE,"Labour"}</definedName>
    <definedName name="wrn.SRDLOADHAUL." localSheetId="1" hidden="1">{"LHPIT1ORE",#N/A,FALSE,"L&amp;H_Pit 1a4100";"LHPIT1ROM",#N/A,FALSE,"L&amp;H_Pit 1a4100";"LHPIT1WASTELEACH",#N/A,FALSE,"L&amp;H_Pit 1a4100";"LHPIT1WASTEFRESH",#N/A,FALSE,"L&amp;H_Pit 1a4100";"LHPIT2ORE",#N/A,FALSE,"L&amp;H_Pit 2a4100";"LHPIT2ROM",#N/A,FALSE,"L&amp;H_Pit 2a4100";"LHPIT2WASTELEACH",#N/A,FALSE,"L&amp;H_Pit 2a4100";"LHPIT2WASTEFRESH",#N/A,FALSE,"L&amp;H_Pit 2a4100";"LHPIT3ORE",#N/A,FALSE,"L&amp;H_Pit 3a4100";"LHPIT3ROM",#N/A,FALSE,"L&amp;H_Pit 3a4100";"LHPIT3WASTELEACH",#N/A,FALSE,"L&amp;H_Pit 3a4100";"LHPIT3WASTEFRESH",#N/A,FALSE,"L&amp;H_Pit 3a4100";"LHPIT4ORE",#N/A,FALSE,"L&amp;H_Pit 4a4100";"LHPIT4ROM",#N/A,FALSE,"L&amp;H_Pit 4a4100";"LHPIT4WASTELEACH",#N/A,FALSE,"L&amp;H_Pit 4a4100";"LHPIT4WASTEFRESH",#N/A,FALSE,"L&amp;H_Pit 4a4100";"LHPIT5ORE",#N/A,FALSE,"L&amp;H_Pit 5a4100";"LHPIT5ROM",#N/A,FALSE,"L&amp;H_Pit 5a4100";"LHPIT5WASTELEACH",#N/A,FALSE,"L&amp;H_Pit 5a4100";"LHPIT5WASTEFRESH",#N/A,FALSE,"L&amp;H_Pit 5a4100";"LHPIT6ORE",#N/A,FALSE,"L&amp;H_Pit 6a4100";"LHPIT6ROM",#N/A,FALSE,"L&amp;H_Pit 6a4100";"LHPIT6WASTELEACH",#N/A,FALSE,"L&amp;H_Pit 6a4100";"LHPIT6WASTEFRESH",#N/A,FALSE,"L&amp;H_Pit 6a4100";"LHPIT1994ORE",#N/A,FALSE,"L&amp;H_Pit 1a994";"LHPIT1994ROM",#N/A,FALSE,"L&amp;H_Pit 1a994";"LHPIT1994WASTELEACH",#N/A,FALSE,"L&amp;H_Pit 1a994";"LHPIT1994WASTEFRESH",#N/A,FALSE,"L&amp;H_Pit 1a994";"LHPIT2994ORE",#N/A,FALSE,"L&amp;H_Pit 2a994";"LHPIT2994ROM",#N/A,FALSE,"L&amp;H_Pit 2a994";"LHPIT2994WASTELEACH",#N/A,FALSE,"L&amp;H_Pit 2a994";"LHPIT2994WASTEFRESH",#N/A,FALSE,"L&amp;H_Pit 2a994";"LHPIT3994ORE",#N/A,FALSE,"L&amp;H_Pit 3a994";"LHPIT3994ROM",#N/A,FALSE,"L&amp;H_Pit 3a994";"LHPIT3994WASTELEACH",#N/A,FALSE,"L&amp;H_Pit 3a994";"LHPIT3994WASTEFRESH",#N/A,FALSE,"L&amp;H_Pit 3a994";"LHPIT4994ORE",#N/A,FALSE,"L&amp;H_Pit 4a994";"LHPIT4994ROM",#N/A,FALSE,"L&amp;H_Pit 4a994";"LHPIT4994WASTELEACH",#N/A,FALSE,"L&amp;H_Pit 4a994";"LHPIT4994WASTEFRESH",#N/A,FALSE,"L&amp;H_Pit 4a994";"LHPIT5994ORE",#N/A,FALSE,"L&amp;H_Pit 5a994";"LHPIT5994ROM",#N/A,FALSE,"L&amp;H_Pit 5a994";"LHPIT5994WASTELEACH",#N/A,FALSE,"L&amp;H_Pit 5a994";"LHPIT5994WASTEFRESH",#N/A,FALSE,"L&amp;H_Pit 5a994";"LHPIT6994ORE",#N/A,FALSE,"L&amp;H_Pit 6a994";"LHPIT6994ROM",#N/A,FALSE,"L&amp;H_Pit 6a994";"LHPIT6994WASTELEACH",#N/A,FALSE,"L&amp;H_Pit 6a994";"LHPIT6994WASTEFRESH",#N/A,FALSE,"L&amp;H_Pit 6a994";"LHPIT1RH200ORE",#N/A,FALSE,"L&amp;H_Pit 1aRH200";"LHPIT1RH200ROM",#N/A,FALSE,"L&amp;H_Pit 1aRH200";"LHPIT1RH200WASTELEACH",#N/A,FALSE,"L&amp;H_Pit 1aRH200";"LHPIT1RH200WASTEFRESH",#N/A,FALSE,"L&amp;H_Pit 1aRH200"}</definedName>
    <definedName name="wrn.SRDLOADHAUL." hidden="1">{"LHPIT1ORE",#N/A,FALSE,"L&amp;H_Pit 1a4100";"LHPIT1ROM",#N/A,FALSE,"L&amp;H_Pit 1a4100";"LHPIT1WASTELEACH",#N/A,FALSE,"L&amp;H_Pit 1a4100";"LHPIT1WASTEFRESH",#N/A,FALSE,"L&amp;H_Pit 1a4100";"LHPIT2ORE",#N/A,FALSE,"L&amp;H_Pit 2a4100";"LHPIT2ROM",#N/A,FALSE,"L&amp;H_Pit 2a4100";"LHPIT2WASTELEACH",#N/A,FALSE,"L&amp;H_Pit 2a4100";"LHPIT2WASTEFRESH",#N/A,FALSE,"L&amp;H_Pit 2a4100";"LHPIT3ORE",#N/A,FALSE,"L&amp;H_Pit 3a4100";"LHPIT3ROM",#N/A,FALSE,"L&amp;H_Pit 3a4100";"LHPIT3WASTELEACH",#N/A,FALSE,"L&amp;H_Pit 3a4100";"LHPIT3WASTEFRESH",#N/A,FALSE,"L&amp;H_Pit 3a4100";"LHPIT4ORE",#N/A,FALSE,"L&amp;H_Pit 4a4100";"LHPIT4ROM",#N/A,FALSE,"L&amp;H_Pit 4a4100";"LHPIT4WASTELEACH",#N/A,FALSE,"L&amp;H_Pit 4a4100";"LHPIT4WASTEFRESH",#N/A,FALSE,"L&amp;H_Pit 4a4100";"LHPIT5ORE",#N/A,FALSE,"L&amp;H_Pit 5a4100";"LHPIT5ROM",#N/A,FALSE,"L&amp;H_Pit 5a4100";"LHPIT5WASTELEACH",#N/A,FALSE,"L&amp;H_Pit 5a4100";"LHPIT5WASTEFRESH",#N/A,FALSE,"L&amp;H_Pit 5a4100";"LHPIT6ORE",#N/A,FALSE,"L&amp;H_Pit 6a4100";"LHPIT6ROM",#N/A,FALSE,"L&amp;H_Pit 6a4100";"LHPIT6WASTELEACH",#N/A,FALSE,"L&amp;H_Pit 6a4100";"LHPIT6WASTEFRESH",#N/A,FALSE,"L&amp;H_Pit 6a4100";"LHPIT1994ORE",#N/A,FALSE,"L&amp;H_Pit 1a994";"LHPIT1994ROM",#N/A,FALSE,"L&amp;H_Pit 1a994";"LHPIT1994WASTELEACH",#N/A,FALSE,"L&amp;H_Pit 1a994";"LHPIT1994WASTEFRESH",#N/A,FALSE,"L&amp;H_Pit 1a994";"LHPIT2994ORE",#N/A,FALSE,"L&amp;H_Pit 2a994";"LHPIT2994ROM",#N/A,FALSE,"L&amp;H_Pit 2a994";"LHPIT2994WASTELEACH",#N/A,FALSE,"L&amp;H_Pit 2a994";"LHPIT2994WASTEFRESH",#N/A,FALSE,"L&amp;H_Pit 2a994";"LHPIT3994ORE",#N/A,FALSE,"L&amp;H_Pit 3a994";"LHPIT3994ROM",#N/A,FALSE,"L&amp;H_Pit 3a994";"LHPIT3994WASTELEACH",#N/A,FALSE,"L&amp;H_Pit 3a994";"LHPIT3994WASTEFRESH",#N/A,FALSE,"L&amp;H_Pit 3a994";"LHPIT4994ORE",#N/A,FALSE,"L&amp;H_Pit 4a994";"LHPIT4994ROM",#N/A,FALSE,"L&amp;H_Pit 4a994";"LHPIT4994WASTELEACH",#N/A,FALSE,"L&amp;H_Pit 4a994";"LHPIT4994WASTEFRESH",#N/A,FALSE,"L&amp;H_Pit 4a994";"LHPIT5994ORE",#N/A,FALSE,"L&amp;H_Pit 5a994";"LHPIT5994ROM",#N/A,FALSE,"L&amp;H_Pit 5a994";"LHPIT5994WASTELEACH",#N/A,FALSE,"L&amp;H_Pit 5a994";"LHPIT5994WASTEFRESH",#N/A,FALSE,"L&amp;H_Pit 5a994";"LHPIT6994ORE",#N/A,FALSE,"L&amp;H_Pit 6a994";"LHPIT6994ROM",#N/A,FALSE,"L&amp;H_Pit 6a994";"LHPIT6994WASTELEACH",#N/A,FALSE,"L&amp;H_Pit 6a994";"LHPIT6994WASTEFRESH",#N/A,FALSE,"L&amp;H_Pit 6a994";"LHPIT1RH200ORE",#N/A,FALSE,"L&amp;H_Pit 1aRH200";"LHPIT1RH200ROM",#N/A,FALSE,"L&amp;H_Pit 1aRH200";"LHPIT1RH200WASTELEACH",#N/A,FALSE,"L&amp;H_Pit 1aRH200";"LHPIT1RH200WASTEFRESH",#N/A,FALSE,"L&amp;H_Pit 1aRH200"}</definedName>
    <definedName name="wrn.SRDSUMMARYDESIGN." localSheetId="1" hidden="1">{"HEADER",#N/A,FALSE,"Header";"ROADMAP",#N/A,FALSE,"Road Map";"SUMM1L4100",#N/A,FALSE,"Summary Design 1a";"SUMM1L994",#N/A,FALSE,"Summary Design 1a";"SUMM1RH200",#N/A,FALSE,"Summary Design 1a";"SUMM1AVER",#N/A,FALSE,"Summary Design 1a";"SUMM2L994",#N/A,FALSE,"Summary Design 2a";"SUMM2L4100",#N/A,FALSE,"Summary Design 2a";"SUMM2AVER",#N/A,FALSE,"Summary Design 2a";"SUMM3L4100",#N/A,FALSE,"Summary Design 3a";"SUMM3L994",#N/A,FALSE,"Summary Design 3a";"SUMM3AVER",#N/A,FALSE,"Summary Design 3a";"SUMM4L994",#N/A,FALSE,"Summary Design 4a";"SUMM4L4100",#N/A,FALSE,"Summary Design 4a";"SUMM4AVER",#N/A,FALSE,"Summary Design 4a";"SUMM5L4100",#N/A,FALSE,"Summary Design 5a";"SUMM5L994",#N/A,FALSE,"Summary Design 5a";"SUMM5AVER",#N/A,FALSE,"Summary Design 5a";"SUMM6L4100",#N/A,FALSE,"Summary Design 6a";"SUMM6L994",#N/A,FALSE,"Summary Design 6a";"SUMM6AVER",#N/A,FALSE,"Summary Design 6a"}</definedName>
    <definedName name="wrn.SRDSUMMARYDESIGN." hidden="1">{"HEADER",#N/A,FALSE,"Header";"ROADMAP",#N/A,FALSE,"Road Map";"SUMM1L4100",#N/A,FALSE,"Summary Design 1a";"SUMM1L994",#N/A,FALSE,"Summary Design 1a";"SUMM1RH200",#N/A,FALSE,"Summary Design 1a";"SUMM1AVER",#N/A,FALSE,"Summary Design 1a";"SUMM2L994",#N/A,FALSE,"Summary Design 2a";"SUMM2L4100",#N/A,FALSE,"Summary Design 2a";"SUMM2AVER",#N/A,FALSE,"Summary Design 2a";"SUMM3L4100",#N/A,FALSE,"Summary Design 3a";"SUMM3L994",#N/A,FALSE,"Summary Design 3a";"SUMM3AVER",#N/A,FALSE,"Summary Design 3a";"SUMM4L994",#N/A,FALSE,"Summary Design 4a";"SUMM4L4100",#N/A,FALSE,"Summary Design 4a";"SUMM4AVER",#N/A,FALSE,"Summary Design 4a";"SUMM5L4100",#N/A,FALSE,"Summary Design 5a";"SUMM5L994",#N/A,FALSE,"Summary Design 5a";"SUMM5AVER",#N/A,FALSE,"Summary Design 5a";"SUMM6L4100",#N/A,FALSE,"Summary Design 6a";"SUMM6L994",#N/A,FALSE,"Summary Design 6a";"SUMM6AVER",#N/A,FALSE,"Summary Design 6a"}</definedName>
    <definedName name="wrn.SRDUNITCOST." localSheetId="1" hidden="1">{"HEADER",#N/A,FALSE,"Header";"ROADMAP",#N/A,FALSE,"Road Map";"SHOVEL4100",#N/A,FALSE,"Shovel";"TRUCKCOST",#N/A,FALSE,"Trucks";"RH200COST",#N/A,FALSE,"RH200";"CAT994COST",#N/A,FALSE,"Service_Eq.";"CATD10RCOST",#N/A,FALSE,"Service_Eq.";"CAT16HCOST",#N/A,FALSE,"Service_Eq.";"CAT854COST",#N/A,FALSE,"Service_Eq.";"WATERCARTCOST",#N/A,FALSE,"Service_Eq.";"FORKLIFTCOST",#N/A,FALSE,"Service_Eq.";"BACKHOECOST",#N/A,FALSE,"Service_Eq.";"LOWLOADERCOST",#N/A,FALSE,"Service_Eq.";"SUPPORTEQUIPCOST",#N/A,FALSE,"Service_Eq.";"DRILLCOST",#N/A,FALSE,"Drill"}</definedName>
    <definedName name="wrn.SRDUNITCOST." hidden="1">{"HEADER",#N/A,FALSE,"Header";"ROADMAP",#N/A,FALSE,"Road Map";"SHOVEL4100",#N/A,FALSE,"Shovel";"TRUCKCOST",#N/A,FALSE,"Trucks";"RH200COST",#N/A,FALSE,"RH200";"CAT994COST",#N/A,FALSE,"Service_Eq.";"CATD10RCOST",#N/A,FALSE,"Service_Eq.";"CAT16HCOST",#N/A,FALSE,"Service_Eq.";"CAT854COST",#N/A,FALSE,"Service_Eq.";"WATERCARTCOST",#N/A,FALSE,"Service_Eq.";"FORKLIFTCOST",#N/A,FALSE,"Service_Eq.";"BACKHOECOST",#N/A,FALSE,"Service_Eq.";"LOWLOADERCOST",#N/A,FALSE,"Service_Eq.";"SUPPORTEQUIPCOST",#N/A,FALSE,"Service_Eq.";"DRILLCOST",#N/A,FALSE,"Drill"}</definedName>
    <definedName name="wrn.SRDVARIOUS." localSheetId="1" hidden="1">{"COSTSUMMARY12.1",#N/A,FALSE,"Cost Summary";"DEWATER",#N/A,FALSE,"Dewater";"SHIFTSANDCONSTANTS",#N/A,FALSE,"Shifts &amp; Constants"}</definedName>
    <definedName name="wrn.SRDVARIOUS." hidden="1">{"COSTSUMMARY12.1",#N/A,FALSE,"Cost Summary";"DEWATER",#N/A,FALSE,"Dewater";"SHIFTSANDCONSTANTS",#N/A,FALSE,"Shifts &amp; Constants"}</definedName>
    <definedName name="wrn.struckgi." localSheetId="1" hidden="1">{#N/A,#N/A,TRUE,"arnitower";#N/A,#N/A,TRUE,"arnigarage "}</definedName>
    <definedName name="wrn.struckgi." hidden="1">{#N/A,#N/A,TRUE,"arnitower";#N/A,#N/A,TRUE,"arnigarage "}</definedName>
    <definedName name="wrn.su." localSheetId="1" hidden="1">{#N/A,#N/A,FALSE,"표지";#N/A,#N/A,FALSE,"전제";#N/A,#N/A,FALSE,"손익-자 (2)";#N/A,#N/A,FALSE,"손익-자";#N/A,#N/A,FALSE,"손익-마 (2)";#N/A,#N/A,FALSE,"손익-마";#N/A,#N/A,FALSE,"총손최종"}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Summary." localSheetId="1" hidden="1">{#N/A,#N/A,FALSE,"Matrix";#N/A,#N/A,FALSE,"Executive";#N/A,#N/A,FALSE,"Summary"}</definedName>
    <definedName name="wrn.Summary." hidden="1">{#N/A,#N/A,FALSE,"Matrix";#N/A,#N/A,FALSE,"Executive";#N/A,#N/A,FALSE,"Summary"}</definedName>
    <definedName name="wrn.support._.schedules." localSheetId="1" hidden="1">{"supportsched",#N/A,FALSE,"Supp Schedules"}</definedName>
    <definedName name="wrn.support._.schedules." hidden="1">{"supportsched",#N/A,FALSE,"Supp Schedules"}</definedName>
    <definedName name="wrn.tables." localSheetId="1" hidden="1">{"tab1_2",#N/A,FALSE,"Cost Summary";"fig1_2",#N/A,FALSE,"Annual Production"}</definedName>
    <definedName name="wrn.tables." hidden="1">{"tab1_2",#N/A,FALSE,"Cost Summary";"fig1_2",#N/A,FALSE,"Annual Production"}</definedName>
    <definedName name="wrn.TESTSRD." localSheetId="1" hidden="1">{"COSTSUMMARY",#N/A,FALSE,"Cost Summary"}</definedName>
    <definedName name="wrn.TESTSRD." hidden="1">{"COSTSUMMARY",#N/A,FALSE,"Cost Summary"}</definedName>
    <definedName name="wrn.VT수익성._.FULL._.SET." localSheetId="1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Y차._.종합." localSheetId="1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선사." localSheetId="1" hidden="1">{#N/A,#N/A,FALSE,"품의서";#N/A,#N/A,FALSE,"전제";#N/A,#N/A,FALSE,"총손";#N/A,#N/A,FALSE,"손익"}</definedName>
    <definedName name="wrn.선사." hidden="1">{#N/A,#N/A,FALSE,"품의서";#N/A,#N/A,FALSE,"전제";#N/A,#N/A,FALSE,"총손";#N/A,#N/A,FALSE,"손익"}</definedName>
    <definedName name="wrn.신규dep._.full._.set." localSheetId="1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1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직좌." localSheetId="1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localSheetId="1" hidden="1">{#N/A,#N/A,FALSE,"표지";#N/A,#N/A,FALSE,"전제";#N/A,#N/A,FALSE,"대당";#N/A,#N/A,FALSE,"가공비";#N/A,#N/A,FALSE,"재료비";#N/A,#N/A,FALSE,"손익"}</definedName>
    <definedName name="wrn.직중." hidden="1">{#N/A,#N/A,FALSE,"표지";#N/A,#N/A,FALSE,"전제";#N/A,#N/A,FALSE,"대당";#N/A,#N/A,FALSE,"가공비";#N/A,#N/A,FALSE,"재료비";#N/A,#N/A,FALSE,"손익"}</definedName>
    <definedName name="wrn6a" localSheetId="1" hidden="1">{"tab1_2",#N/A,FALSE,"Cost Summary";"fig1_2",#N/A,FALSE,"Annual Production"}</definedName>
    <definedName name="wrn6a" hidden="1">{"tab1_2",#N/A,FALSE,"Cost Summary";"fig1_2",#N/A,FALSE,"Annual Production"}</definedName>
    <definedName name="wrna" localSheetId="1" hidden="1">{"tab1_2",#N/A,FALSE,"Cost Summary";"fig1_2",#N/A,FALSE,"Annual Production"}</definedName>
    <definedName name="wrna" hidden="1">{"tab1_2",#N/A,FALSE,"Cost Summary";"fig1_2",#N/A,FALSE,"Annual Production"}</definedName>
    <definedName name="ws">#REF!</definedName>
    <definedName name="wsad" hidden="1">#REF!</definedName>
    <definedName name="wvu.GAITHERSBURG._.OFFICE." localSheetId="1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ro_graph." localSheetId="1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personnel." localSheetId="1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headcount._.change." localSheetId="1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personnel._.by._.location." localSheetId="1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ROLLING._.3._.MONTH._.FCST." localSheetId="1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ww" localSheetId="1" hidden="1">{#N/A,#N/A,FALSE,"subcontract"}</definedName>
    <definedName name="www" hidden="1">{#N/A,#N/A,FALSE,"subcontract"}</definedName>
    <definedName name="x">#REF!</definedName>
    <definedName name="xbw">#REF!</definedName>
    <definedName name="x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GFH" localSheetId="1" hidden="1">{#N/A,#N/A,FALSE,"subcontract"}</definedName>
    <definedName name="XGFH" hidden="1">{#N/A,#N/A,FALSE,"subcontract"}</definedName>
    <definedName name="Xing_Tbl">#REF!</definedName>
    <definedName name="xx" localSheetId="1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xx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XXX">#REF!</definedName>
    <definedName name="XXX1" localSheetId="1" hidden="1">{#N/A,#N/A,FALSE,"Matrix";#N/A,#N/A,FALSE,"Executive";#N/A,#N/A,FALSE,"Summary"}</definedName>
    <definedName name="XXX1" hidden="1">{#N/A,#N/A,FALSE,"Matrix";#N/A,#N/A,FALSE,"Executive";#N/A,#N/A,FALSE,"Summary"}</definedName>
    <definedName name="xxxx" localSheetId="1" hidden="1">{#N/A,#N/A,FALSE,"Matrix";#N/A,#N/A,FALSE,"Executive";#N/A,#N/A,FALSE,"Summary"}</definedName>
    <definedName name="xxxx" hidden="1">{#N/A,#N/A,FALSE,"Matrix";#N/A,#N/A,FALSE,"Executive";#N/A,#N/A,FALSE,"Summary"}</definedName>
    <definedName name="xxxxx" localSheetId="1" hidden="1">{#N/A,#N/A,FALSE,"MAQUINA"}</definedName>
    <definedName name="xxxxx" hidden="1">{#N/A,#N/A,FALSE,"MAQUINA"}</definedName>
    <definedName name="xxxxxxxx" localSheetId="1" hidden="1">{#N/A,#N/A,FALSE,"Matrix";#N/A,#N/A,FALSE,"Executive";#N/A,#N/A,FALSE,"Summary"}</definedName>
    <definedName name="xxxxxxxx" hidden="1">{#N/A,#N/A,FALSE,"Matrix";#N/A,#N/A,FALSE,"Executive";#N/A,#N/A,FALSE,"Summary"}</definedName>
    <definedName name="y">#REF!</definedName>
    <definedName name="ybw">#REF!</definedName>
    <definedName name="yes" hidden="1">#REF!</definedName>
    <definedName name="yot">#REF!</definedName>
    <definedName name="ys">#REF!</definedName>
    <definedName name="ythj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y">#REF!</definedName>
    <definedName name="yyy">#REF!</definedName>
    <definedName name="z" localSheetId="1" hidden="1">{#N/A,#N/A,FALSE,"subcontract"}</definedName>
    <definedName name="z" hidden="1">{#N/A,#N/A,FALSE,"subcontract"}</definedName>
    <definedName name="ZAW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b">#REF!</definedName>
    <definedName name="Zo">#REF!</definedName>
    <definedName name="zs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Ug">#REF!</definedName>
    <definedName name="zwl">#REF!</definedName>
    <definedName name="zww">#REF!</definedName>
    <definedName name="ZYX">#REF!</definedName>
    <definedName name="ZZ">#REF!</definedName>
    <definedName name="ZZZ">#REF!</definedName>
    <definedName name="ㄱㅇ" localSheetId="1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나" localSheetId="1" hidden="1">{#N/A,#N/A,TRUE,"Y생산";#N/A,#N/A,TRUE,"Y판매";#N/A,#N/A,TRUE,"Y총물량";#N/A,#N/A,TRUE,"Y능력";#N/A,#N/A,TRUE,"YKD"}</definedName>
    <definedName name="가나" hidden="1">{#N/A,#N/A,TRUE,"Y생산";#N/A,#N/A,TRUE,"Y판매";#N/A,#N/A,TRUE,"Y총물량";#N/A,#N/A,TRUE,"Y능력";#N/A,#N/A,TRUE,"YKD"}</definedName>
    <definedName name="가람" localSheetId="1" hidden="1">{#N/A,#N/A,FALSE,"단축1";#N/A,#N/A,FALSE,"단축2";#N/A,#N/A,FALSE,"단축3";#N/A,#N/A,FALSE,"장축";#N/A,#N/A,FALSE,"4WD"}</definedName>
    <definedName name="가람" hidden="1">{#N/A,#N/A,FALSE,"단축1";#N/A,#N/A,FALSE,"단축2";#N/A,#N/A,FALSE,"단축3";#N/A,#N/A,FALSE,"장축";#N/A,#N/A,FALSE,"4WD"}</definedName>
    <definedName name="개선내용" localSheetId="1" hidden="1">{#N/A,#N/A,TRUE,"Y생산";#N/A,#N/A,TRUE,"Y판매";#N/A,#N/A,TRUE,"Y총물량";#N/A,#N/A,TRUE,"Y능력";#N/A,#N/A,TRUE,"YKD"}</definedName>
    <definedName name="개선내용" hidden="1">{#N/A,#N/A,TRUE,"Y생산";#N/A,#N/A,TRUE,"Y판매";#N/A,#N/A,TRUE,"Y총물량";#N/A,#N/A,TRUE,"Y능력";#N/A,#N/A,TRUE,"YKD"}</definedName>
    <definedName name="개선실적" localSheetId="1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견적번호">#REF!</definedName>
    <definedName name="견적조건" hidden="1">#REF!</definedName>
    <definedName name="경차" localSheetId="1" hidden="1">{#N/A,#N/A,TRUE,"Y생산";#N/A,#N/A,TRUE,"Y판매";#N/A,#N/A,TRUE,"Y총물량";#N/A,#N/A,TRUE,"Y능력";#N/A,#N/A,TRUE,"YKD"}</definedName>
    <definedName name="경차" hidden="1">{#N/A,#N/A,TRUE,"Y생산";#N/A,#N/A,TRUE,"Y판매";#N/A,#N/A,TRUE,"Y총물량";#N/A,#N/A,TRUE,"Y능력";#N/A,#N/A,TRUE,"YKD"}</definedName>
    <definedName name="근거2" localSheetId="1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금형" localSheetId="1" hidden="1">{#N/A,#N/A,FALSE,"단축1";#N/A,#N/A,FALSE,"단축2";#N/A,#N/A,FALSE,"단축3";#N/A,#N/A,FALSE,"장축";#N/A,#N/A,FALSE,"4WD"}</definedName>
    <definedName name="금형" hidden="1">{#N/A,#N/A,FALSE,"단축1";#N/A,#N/A,FALSE,"단축2";#N/A,#N/A,FALSE,"단축3";#N/A,#N/A,FALSE,"장축";#N/A,#N/A,FALSE,"4WD"}</definedName>
    <definedName name="금형편성표" localSheetId="1" hidden="1">{#N/A,#N/A,FALSE,"단축1";#N/A,#N/A,FALSE,"단축2";#N/A,#N/A,FALSE,"단축3";#N/A,#N/A,FALSE,"장축";#N/A,#N/A,FALSE,"4WD"}</definedName>
    <definedName name="금형편성표" hidden="1">{#N/A,#N/A,FALSE,"단축1";#N/A,#N/A,FALSE,"단축2";#N/A,#N/A,FALSE,"단축3";#N/A,#N/A,FALSE,"장축";#N/A,#N/A,FALSE,"4WD"}</definedName>
    <definedName name="ㄴㄹㅇ" localSheetId="1" hidden="1">{#N/A,#N/A,FALSE,"단축1";#N/A,#N/A,FALSE,"단축2";#N/A,#N/A,FALSE,"단축3";#N/A,#N/A,FALSE,"장축";#N/A,#N/A,FALSE,"4WD"}</definedName>
    <definedName name="ㄴㄹㅇ" hidden="1">{#N/A,#N/A,FALSE,"단축1";#N/A,#N/A,FALSE,"단축2";#N/A,#N/A,FALSE,"단축3";#N/A,#N/A,FALSE,"장축";#N/A,#N/A,FALSE,"4WD"}</definedName>
    <definedName name="ㄴㅇ" localSheetId="1" hidden="1">{#N/A,#N/A,TRUE,"Y생산";#N/A,#N/A,TRUE,"Y판매";#N/A,#N/A,TRUE,"Y총물량";#N/A,#N/A,TRUE,"Y능력";#N/A,#N/A,TRUE,"YKD"}</definedName>
    <definedName name="ㄴㅇ" hidden="1">{#N/A,#N/A,TRUE,"Y생산";#N/A,#N/A,TRUE,"Y판매";#N/A,#N/A,TRUE,"Y총물량";#N/A,#N/A,TRUE,"Y능력";#N/A,#N/A,TRUE,"YKD"}</definedName>
    <definedName name="ㄴㅇㄴ" localSheetId="1" hidden="1">{#N/A,#N/A,FALSE,"단축1";#N/A,#N/A,FALSE,"단축2";#N/A,#N/A,FALSE,"단축3";#N/A,#N/A,FALSE,"장축";#N/A,#N/A,FALSE,"4WD"}</definedName>
    <definedName name="ㄴㅇㄴ" hidden="1">{#N/A,#N/A,FALSE,"단축1";#N/A,#N/A,FALSE,"단축2";#N/A,#N/A,FALSE,"단축3";#N/A,#N/A,FALSE,"장축";#N/A,#N/A,FALSE,"4WD"}</definedName>
    <definedName name="ㄷㄳ" localSheetId="1" hidden="1">{#N/A,#N/A,FALSE,"단축1";#N/A,#N/A,FALSE,"단축2";#N/A,#N/A,FALSE,"단축3";#N/A,#N/A,FALSE,"장축";#N/A,#N/A,FALSE,"4WD"}</definedName>
    <definedName name="ㄷㄳ" hidden="1">{#N/A,#N/A,FALSE,"단축1";#N/A,#N/A,FALSE,"단축2";#N/A,#N/A,FALSE,"단축3";#N/A,#N/A,FALSE,"장축";#N/A,#N/A,FALSE,"4WD"}</definedName>
    <definedName name="ㄷㅇ" localSheetId="1" hidden="1">{#N/A,#N/A,TRUE,"Y생산";#N/A,#N/A,TRUE,"Y판매";#N/A,#N/A,TRUE,"Y총물량";#N/A,#N/A,TRUE,"Y능력";#N/A,#N/A,TRUE,"YKD"}</definedName>
    <definedName name="ㄷㅇ" hidden="1">{#N/A,#N/A,TRUE,"Y생산";#N/A,#N/A,TRUE,"Y판매";#N/A,#N/A,TRUE,"Y총물량";#N/A,#N/A,TRUE,"Y능력";#N/A,#N/A,TRUE,"YKD"}</definedName>
    <definedName name="단가기준" localSheetId="1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localSheetId="1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단조편성표" localSheetId="1" hidden="1">{#N/A,#N/A,FALSE,"단축1";#N/A,#N/A,FALSE,"단축2";#N/A,#N/A,FALSE,"단축3";#N/A,#N/A,FALSE,"장축";#N/A,#N/A,FALSE,"4WD"}</definedName>
    <definedName name="단조편성표" hidden="1">{#N/A,#N/A,FALSE,"단축1";#N/A,#N/A,FALSE,"단축2";#N/A,#N/A,FALSE,"단축3";#N/A,#N/A,FALSE,"장축";#N/A,#N/A,FALSE,"4WD"}</definedName>
    <definedName name="대방총괄" localSheetId="1" hidden="1">{#N/A,#N/A,FALSE,"단축1";#N/A,#N/A,FALSE,"단축2";#N/A,#N/A,FALSE,"단축3";#N/A,#N/A,FALSE,"장축";#N/A,#N/A,FALSE,"4WD"}</definedName>
    <definedName name="대방총괄" hidden="1">{#N/A,#N/A,FALSE,"단축1";#N/A,#N/A,FALSE,"단축2";#N/A,#N/A,FALSE,"단축3";#N/A,#N/A,FALSE,"장축";#N/A,#N/A,FALSE,"4WD"}</definedName>
    <definedName name="ㅁㄴㅇ" localSheetId="1" hidden="1">{#N/A,#N/A,FALSE,"단축1";#N/A,#N/A,FALSE,"단축2";#N/A,#N/A,FALSE,"단축3";#N/A,#N/A,FALSE,"장축";#N/A,#N/A,FALSE,"4WD"}</definedName>
    <definedName name="ㅁㄴㅇ" hidden="1">{#N/A,#N/A,FALSE,"단축1";#N/A,#N/A,FALSE,"단축2";#N/A,#N/A,FALSE,"단축3";#N/A,#N/A,FALSE,"장축";#N/A,#N/A,FALSE,"4WD"}</definedName>
    <definedName name="목차" localSheetId="1" hidden="1">{#N/A,#N/A,FALSE,"표지";#N/A,#N/A,FALSE,"전제";#N/A,#N/A,FALSE,"대당";#N/A,#N/A,FALSE,"가공비";#N/A,#N/A,FALSE,"재료비";#N/A,#N/A,FALSE,"손익"}</definedName>
    <definedName name="목차" hidden="1">{#N/A,#N/A,FALSE,"표지";#N/A,#N/A,FALSE,"전제";#N/A,#N/A,FALSE,"대당";#N/A,#N/A,FALSE,"가공비";#N/A,#N/A,FALSE,"재료비";#N/A,#N/A,FALSE,"손익"}</definedName>
    <definedName name="목차2" localSheetId="1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목차2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문제3" localSheetId="1" hidden="1">{#N/A,#N/A,FALSE,"단축1";#N/A,#N/A,FALSE,"단축2";#N/A,#N/A,FALSE,"단축3";#N/A,#N/A,FALSE,"장축";#N/A,#N/A,FALSE,"4WD"}</definedName>
    <definedName name="문제3" hidden="1">{#N/A,#N/A,FALSE,"단축1";#N/A,#N/A,FALSE,"단축2";#N/A,#N/A,FALSE,"단축3";#N/A,#N/A,FALSE,"장축";#N/A,#N/A,FALSE,"4WD"}</definedName>
    <definedName name="물랴자" localSheetId="1" hidden="1">{#N/A,#N/A,TRUE,"Y생산";#N/A,#N/A,TRUE,"Y판매";#N/A,#N/A,TRUE,"Y총물량";#N/A,#N/A,TRUE,"Y능력";#N/A,#N/A,TRUE,"YKD"}</definedName>
    <definedName name="물랴자" hidden="1">{#N/A,#N/A,TRUE,"Y생산";#N/A,#N/A,TRUE,"Y판매";#N/A,#N/A,TRUE,"Y총물량";#N/A,#N/A,TRUE,"Y능력";#N/A,#N/A,TRUE,"YKD"}</definedName>
    <definedName name="물량수" localSheetId="1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localSheetId="1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localSheetId="1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localSheetId="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localSheetId="1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localSheetId="1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수" localSheetId="1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ㅂㅂ" localSheetId="1" hidden="1">{#N/A,#N/A,FALSE,"단축1";#N/A,#N/A,FALSE,"단축2";#N/A,#N/A,FALSE,"단축3";#N/A,#N/A,FALSE,"장축";#N/A,#N/A,FALSE,"4WD"}</definedName>
    <definedName name="ㅂㅂ" hidden="1">{#N/A,#N/A,FALSE,"단축1";#N/A,#N/A,FALSE,"단축2";#N/A,#N/A,FALSE,"단축3";#N/A,#N/A,FALSE,"장축";#N/A,#N/A,FALSE,"4WD"}</definedName>
    <definedName name="바바라" localSheetId="1" hidden="1">{#N/A,#N/A,TRUE,"Y생산";#N/A,#N/A,TRUE,"Y판매";#N/A,#N/A,TRUE,"Y총물량";#N/A,#N/A,TRUE,"Y능력";#N/A,#N/A,TRUE,"YKD"}</definedName>
    <definedName name="바바라" hidden="1">{#N/A,#N/A,TRUE,"Y생산";#N/A,#N/A,TRUE,"Y판매";#N/A,#N/A,TRUE,"Y총물량";#N/A,#N/A,TRUE,"Y능력";#N/A,#N/A,TRUE,"YKD"}</definedName>
    <definedName name="박어쟈루" hidden="1">#REF!</definedName>
    <definedName name="부대공사" hidden="1">#REF!</definedName>
    <definedName name="분기별" localSheetId="1" hidden="1">{#N/A,#N/A,TRUE,"Y생산";#N/A,#N/A,TRUE,"Y판매";#N/A,#N/A,TRUE,"Y총물량";#N/A,#N/A,TRUE,"Y능력";#N/A,#N/A,TRUE,"YKD"}</definedName>
    <definedName name="분기별" hidden="1">{#N/A,#N/A,TRUE,"Y생산";#N/A,#N/A,TRUE,"Y판매";#N/A,#N/A,TRUE,"Y총물량";#N/A,#N/A,TRUE,"Y능력";#N/A,#N/A,TRUE,"YKD"}</definedName>
    <definedName name="ㅅ" localSheetId="1" hidden="1">{#N/A,#N/A,FALSE,"표지";#N/A,#N/A,FALSE,"전제";#N/A,#N/A,FALSE,"대당";#N/A,#N/A,FALSE,"가공비";#N/A,#N/A,FALSE,"재료비";#N/A,#N/A,FALSE,"손익"}</definedName>
    <definedName name="ㅅ" hidden="1">{#N/A,#N/A,FALSE,"표지";#N/A,#N/A,FALSE,"전제";#N/A,#N/A,FALSE,"대당";#N/A,#N/A,FALSE,"가공비";#N/A,#N/A,FALSE,"재료비";#N/A,#N/A,FALSE,"손익"}</definedName>
    <definedName name="사진" localSheetId="1" hidden="1">{#N/A,#N/A,FALSE,"단축1";#N/A,#N/A,FALSE,"단축2";#N/A,#N/A,FALSE,"단축3";#N/A,#N/A,FALSE,"장축";#N/A,#N/A,FALSE,"4WD"}</definedName>
    <definedName name="사진" hidden="1">{#N/A,#N/A,FALSE,"단축1";#N/A,#N/A,FALSE,"단축2";#N/A,#N/A,FALSE,"단축3";#N/A,#N/A,FALSE,"장축";#N/A,#N/A,FALSE,"4WD"}</definedName>
    <definedName name="사진1" localSheetId="1" hidden="1">{#N/A,#N/A,FALSE,"단축1";#N/A,#N/A,FALSE,"단축2";#N/A,#N/A,FALSE,"단축3";#N/A,#N/A,FALSE,"장축";#N/A,#N/A,FALSE,"4WD"}</definedName>
    <definedName name="사진1" hidden="1">{#N/A,#N/A,FALSE,"단축1";#N/A,#N/A,FALSE,"단축2";#N/A,#N/A,FALSE,"단축3";#N/A,#N/A,FALSE,"장축";#N/A,#N/A,FALSE,"4WD"}</definedName>
    <definedName name="세부일정" localSheetId="1" hidden="1">{#N/A,#N/A,FALSE,"단축1";#N/A,#N/A,FALSE,"단축2";#N/A,#N/A,FALSE,"단축3";#N/A,#N/A,FALSE,"장축";#N/A,#N/A,FALSE,"4WD"}</definedName>
    <definedName name="세부일정" hidden="1">{#N/A,#N/A,FALSE,"단축1";#N/A,#N/A,FALSE,"단축2";#N/A,#N/A,FALSE,"단축3";#N/A,#N/A,FALSE,"장축";#N/A,#N/A,FALSE,"4WD"}</definedName>
    <definedName name="세부일정.1" localSheetId="1" hidden="1">{#N/A,#N/A,FALSE,"단축1";#N/A,#N/A,FALSE,"단축2";#N/A,#N/A,FALSE,"단축3";#N/A,#N/A,FALSE,"장축";#N/A,#N/A,FALSE,"4WD"}</definedName>
    <definedName name="세부일정.1" hidden="1">{#N/A,#N/A,FALSE,"단축1";#N/A,#N/A,FALSE,"단축2";#N/A,#N/A,FALSE,"단축3";#N/A,#N/A,FALSE,"장축";#N/A,#N/A,FALSE,"4WD"}</definedName>
    <definedName name="소화주철장판" localSheetId="1" hidden="1">{#N/A,#N/A,FALSE,"단축1";#N/A,#N/A,FALSE,"단축2";#N/A,#N/A,FALSE,"단축3";#N/A,#N/A,FALSE,"장축";#N/A,#N/A,FALSE,"4WD"}</definedName>
    <definedName name="소화주철장판" hidden="1">{#N/A,#N/A,FALSE,"단축1";#N/A,#N/A,FALSE,"단축2";#N/A,#N/A,FALSE,"단축3";#N/A,#N/A,FALSE,"장축";#N/A,#N/A,FALSE,"4WD"}</definedName>
    <definedName name="수익4속" localSheetId="1" hidden="1">{#N/A,#N/A,FALSE,"단축1";#N/A,#N/A,FALSE,"단축2";#N/A,#N/A,FALSE,"단축3";#N/A,#N/A,FALSE,"장축";#N/A,#N/A,FALSE,"4WD"}</definedName>
    <definedName name="수익4속" hidden="1">{#N/A,#N/A,FALSE,"단축1";#N/A,#N/A,FALSE,"단축2";#N/A,#N/A,FALSE,"단축3";#N/A,#N/A,FALSE,"장축";#N/A,#N/A,FALSE,"4WD"}</definedName>
    <definedName name="수정물량" localSheetId="1" hidden="1">{#N/A,#N/A,TRUE,"Y생산";#N/A,#N/A,TRUE,"Y판매";#N/A,#N/A,TRUE,"Y총물량";#N/A,#N/A,TRUE,"Y능력";#N/A,#N/A,TRUE,"YKD"}</definedName>
    <definedName name="수정물량" hidden="1">{#N/A,#N/A,TRUE,"Y생산";#N/A,#N/A,TRUE,"Y판매";#N/A,#N/A,TRUE,"Y총물량";#N/A,#N/A,TRUE,"Y능력";#N/A,#N/A,TRUE,"YKD"}</definedName>
    <definedName name="시장동향" localSheetId="1" hidden="1">{#N/A,#N/A,TRUE,"Y생산";#N/A,#N/A,TRUE,"Y판매";#N/A,#N/A,TRUE,"Y총물량";#N/A,#N/A,TRUE,"Y능력";#N/A,#N/A,TRUE,"YKD"}</definedName>
    <definedName name="시장동향" hidden="1">{#N/A,#N/A,TRUE,"Y생산";#N/A,#N/A,TRUE,"Y판매";#N/A,#N/A,TRUE,"Y총물량";#N/A,#N/A,TRUE,"Y능력";#N/A,#N/A,TRUE,"YKD"}</definedName>
    <definedName name="신AT종합" localSheetId="1" hidden="1">{#N/A,#N/A,FALSE,"단축1";#N/A,#N/A,FALSE,"단축2";#N/A,#N/A,FALSE,"단축3";#N/A,#N/A,FALSE,"장축";#N/A,#N/A,FALSE,"4WD"}</definedName>
    <definedName name="신AT종합" hidden="1">{#N/A,#N/A,FALSE,"단축1";#N/A,#N/A,FALSE,"단축2";#N/A,#N/A,FALSE,"단축3";#N/A,#N/A,FALSE,"장축";#N/A,#N/A,FALSE,"4WD"}</definedName>
    <definedName name="신세대종합" localSheetId="1" hidden="1">{#N/A,#N/A,FALSE,"단축1";#N/A,#N/A,FALSE,"단축2";#N/A,#N/A,FALSE,"단축3";#N/A,#N/A,FALSE,"장축";#N/A,#N/A,FALSE,"4WD"}</definedName>
    <definedName name="신세대종합" hidden="1">{#N/A,#N/A,FALSE,"단축1";#N/A,#N/A,FALSE,"단축2";#N/A,#N/A,FALSE,"단축3";#N/A,#N/A,FALSE,"장축";#N/A,#N/A,FALSE,"4WD"}</definedName>
    <definedName name="실시" localSheetId="1" hidden="1">{#N/A,#N/A,FALSE,"단축1";#N/A,#N/A,FALSE,"단축2";#N/A,#N/A,FALSE,"단축3";#N/A,#N/A,FALSE,"장축";#N/A,#N/A,FALSE,"4WD"}</definedName>
    <definedName name="실시" hidden="1">{#N/A,#N/A,FALSE,"단축1";#N/A,#N/A,FALSE,"단축2";#N/A,#N/A,FALSE,"단축3";#N/A,#N/A,FALSE,"장축";#N/A,#N/A,FALSE,"4WD"}</definedName>
    <definedName name="ㅇㅇ" localSheetId="1" hidden="1">{#N/A,#N/A,TRUE,"Y생산";#N/A,#N/A,TRUE,"Y판매";#N/A,#N/A,TRUE,"Y총물량";#N/A,#N/A,TRUE,"Y능력";#N/A,#N/A,TRUE,"YKD"}</definedName>
    <definedName name="ㅇㅇ" hidden="1">{#N/A,#N/A,TRUE,"Y생산";#N/A,#N/A,TRUE,"Y판매";#N/A,#N/A,TRUE,"Y총물량";#N/A,#N/A,TRUE,"Y능력";#N/A,#N/A,TRUE,"YKD"}</definedName>
    <definedName name="ㅇㅇㄹㄹ" localSheetId="1" hidden="1">{#N/A,#N/A,FALSE,"표지";#N/A,#N/A,FALSE,"전제";#N/A,#N/A,FALSE,"손익-자 (2)";#N/A,#N/A,FALSE,"손익-자";#N/A,#N/A,FALSE,"손익-마 (2)";#N/A,#N/A,FALSE,"손익-마";#N/A,#N/A,FALSE,"총손최종"}</definedName>
    <definedName name="ㅇㅇㄹㄹ" hidden="1">{#N/A,#N/A,FALSE,"표지";#N/A,#N/A,FALSE,"전제";#N/A,#N/A,FALSE,"손익-자 (2)";#N/A,#N/A,FALSE,"손익-자";#N/A,#N/A,FALSE,"손익-마 (2)";#N/A,#N/A,FALSE,"손익-마";#N/A,#N/A,FALSE,"총손최종"}</definedName>
    <definedName name="ㅇㅎ" localSheetId="1" hidden="1">{#N/A,#N/A,FALSE,"단축1";#N/A,#N/A,FALSE,"단축2";#N/A,#N/A,FALSE,"단축3";#N/A,#N/A,FALSE,"장축";#N/A,#N/A,FALSE,"4WD"}</definedName>
    <definedName name="ㅇㅎ" hidden="1">{#N/A,#N/A,FALSE,"단축1";#N/A,#N/A,FALSE,"단축2";#N/A,#N/A,FALSE,"단축3";#N/A,#N/A,FALSE,"장축";#N/A,#N/A,FALSE,"4WD"}</definedName>
    <definedName name="아" localSheetId="1" hidden="1">{#N/A,#N/A,TRUE,"Y생산";#N/A,#N/A,TRUE,"Y판매";#N/A,#N/A,TRUE,"Y총물량";#N/A,#N/A,TRUE,"Y능력";#N/A,#N/A,TRUE,"YKD"}</definedName>
    <definedName name="아" hidden="1">{#N/A,#N/A,TRUE,"Y생산";#N/A,#N/A,TRUE,"Y판매";#N/A,#N/A,TRUE,"Y총물량";#N/A,#N/A,TRUE,"Y능력";#N/A,#N/A,TRUE,"YKD"}</definedName>
    <definedName name="아아">#REF!,#REF!,#REF!,#REF!,#REF!,#REF!,#REF!</definedName>
    <definedName name="열처리" localSheetId="1" hidden="1">{#N/A,#N/A,FALSE,"단축1";#N/A,#N/A,FALSE,"단축2";#N/A,#N/A,FALSE,"단축3";#N/A,#N/A,FALSE,"장축";#N/A,#N/A,FALSE,"4WD"}</definedName>
    <definedName name="열처리" hidden="1">{#N/A,#N/A,FALSE,"단축1";#N/A,#N/A,FALSE,"단축2";#N/A,#N/A,FALSE,"단축3";#N/A,#N/A,FALSE,"장축";#N/A,#N/A,FALSE,"4WD"}</definedName>
    <definedName name="일정" localSheetId="1" hidden="1">{#N/A,#N/A,FALSE,"단축1";#N/A,#N/A,FALSE,"단축2";#N/A,#N/A,FALSE,"단축3";#N/A,#N/A,FALSE,"장축";#N/A,#N/A,FALSE,"4WD"}</definedName>
    <definedName name="일정" hidden="1">{#N/A,#N/A,FALSE,"단축1";#N/A,#N/A,FALSE,"단축2";#N/A,#N/A,FALSE,"단축3";#N/A,#N/A,FALSE,"장축";#N/A,#N/A,FALSE,"4WD"}</definedName>
    <definedName name="ㅈㅈ" localSheetId="1" hidden="1">{#N/A,#N/A,FALSE,"전제";#N/A,#N/A,FALSE,"표지";#N/A,#N/A,FALSE,"6D16";#N/A,#N/A,FALSE,"6D22";#N/A,#N/A,FALSE,"6D22-T";#N/A,#N/A,FALSE,"Q-DEG";#N/A,#N/A,FALSE,"총손";#N/A,#N/A,FALSE,"대당";#N/A,#N/A,FALSE,"가공비"}</definedName>
    <definedName name="ㅈㅈ" hidden="1">{#N/A,#N/A,FALSE,"전제";#N/A,#N/A,FALSE,"표지";#N/A,#N/A,FALSE,"6D16";#N/A,#N/A,FALSE,"6D22";#N/A,#N/A,FALSE,"6D22-T";#N/A,#N/A,FALSE,"Q-DEG";#N/A,#N/A,FALSE,"총손";#N/A,#N/A,FALSE,"대당";#N/A,#N/A,FALSE,"가공비"}</definedName>
    <definedName name="재" localSheetId="1" hidden="1">{#N/A,#N/A,TRUE,"Y생산";#N/A,#N/A,TRUE,"Y판매";#N/A,#N/A,TRUE,"Y총물량";#N/A,#N/A,TRUE,"Y능력";#N/A,#N/A,TRUE,"YKD"}</definedName>
    <definedName name="재" hidden="1">{#N/A,#N/A,TRUE,"Y생산";#N/A,#N/A,TRUE,"Y판매";#N/A,#N/A,TRUE,"Y총물량";#N/A,#N/A,TRUE,"Y능력";#N/A,#N/A,TRUE,"YKD"}</definedName>
    <definedName name="전차종" localSheetId="1" hidden="1">{#N/A,#N/A,FALSE,"표지";#N/A,#N/A,FALSE,"전제";#N/A,#N/A,FALSE,"대당";#N/A,#N/A,FALSE,"가공비";#N/A,#N/A,FALSE,"재료비";#N/A,#N/A,FALSE,"손익"}</definedName>
    <definedName name="전차종" hidden="1">{#N/A,#N/A,FALSE,"표지";#N/A,#N/A,FALSE,"전제";#N/A,#N/A,FALSE,"대당";#N/A,#N/A,FALSE,"가공비";#N/A,#N/A,FALSE,"재료비";#N/A,#N/A,FALSE,"손익"}</definedName>
    <definedName name="조립" localSheetId="1" hidden="1">{#N/A,#N/A,FALSE,"단축1";#N/A,#N/A,FALSE,"단축2";#N/A,#N/A,FALSE,"단축3";#N/A,#N/A,FALSE,"장축";#N/A,#N/A,FALSE,"4WD"}</definedName>
    <definedName name="조립" hidden="1">{#N/A,#N/A,FALSE,"단축1";#N/A,#N/A,FALSE,"단축2";#N/A,#N/A,FALSE,"단축3";#N/A,#N/A,FALSE,"장축";#N/A,#N/A,FALSE,"4WD"}</definedName>
    <definedName name="조치" localSheetId="1" hidden="1">{#N/A,#N/A,FALSE,"단축1";#N/A,#N/A,FALSE,"단축2";#N/A,#N/A,FALSE,"단축3";#N/A,#N/A,FALSE,"장축";#N/A,#N/A,FALSE,"4WD"}</definedName>
    <definedName name="조치" hidden="1">{#N/A,#N/A,FALSE,"단축1";#N/A,#N/A,FALSE,"단축2";#N/A,#N/A,FALSE,"단축3";#N/A,#N/A,FALSE,"장축";#N/A,#N/A,FALSE,"4WD"}</definedName>
    <definedName name="중앙" localSheetId="1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ㅊ" localSheetId="1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ㅊ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카메라" localSheetId="1" hidden="1">{#N/A,#N/A,FALSE,"단축1";#N/A,#N/A,FALSE,"단축2";#N/A,#N/A,FALSE,"단축3";#N/A,#N/A,FALSE,"장축";#N/A,#N/A,FALSE,"4WD"}</definedName>
    <definedName name="카메라" hidden="1">{#N/A,#N/A,FALSE,"단축1";#N/A,#N/A,FALSE,"단축2";#N/A,#N/A,FALSE,"단축3";#N/A,#N/A,FALSE,"장축";#N/A,#N/A,FALSE,"4WD"}</definedName>
    <definedName name="ㅌ" localSheetId="1" hidden="1">{#N/A,#N/A,FALSE,"단축1";#N/A,#N/A,FALSE,"단축2";#N/A,#N/A,FALSE,"단축3";#N/A,#N/A,FALSE,"장축";#N/A,#N/A,FALSE,"4WD"}</definedName>
    <definedName name="ㅌ" hidden="1">{#N/A,#N/A,FALSE,"단축1";#N/A,#N/A,FALSE,"단축2";#N/A,#N/A,FALSE,"단축3";#N/A,#N/A,FALSE,"장축";#N/A,#N/A,FALSE,"4WD"}</definedName>
    <definedName name="ㅌㄴㅇ" localSheetId="1" hidden="1">{#N/A,#N/A,FALSE,"단축1";#N/A,#N/A,FALSE,"단축2";#N/A,#N/A,FALSE,"단축3";#N/A,#N/A,FALSE,"장축";#N/A,#N/A,FALSE,"4WD"}</definedName>
    <definedName name="ㅌㄴㅇ" hidden="1">{#N/A,#N/A,FALSE,"단축1";#N/A,#N/A,FALSE,"단축2";#N/A,#N/A,FALSE,"단축3";#N/A,#N/A,FALSE,"장축";#N/A,#N/A,FALSE,"4WD"}</definedName>
    <definedName name="투자CONC.182억" localSheetId="1" hidden="1">{#N/A,#N/A,FALSE,"단축1";#N/A,#N/A,FALSE,"단축2";#N/A,#N/A,FALSE,"단축3";#N/A,#N/A,FALSE,"장축";#N/A,#N/A,FALSE,"4WD"}</definedName>
    <definedName name="투자CONC.182억" hidden="1">{#N/A,#N/A,FALSE,"단축1";#N/A,#N/A,FALSE,"단축2";#N/A,#N/A,FALSE,"단축3";#N/A,#N/A,FALSE,"장축";#N/A,#N/A,FALSE,"4WD"}</definedName>
    <definedName name="투자비비교" localSheetId="1" hidden="1">{#N/A,#N/A,FALSE,"단축1";#N/A,#N/A,FALSE,"단축2";#N/A,#N/A,FALSE,"단축3";#N/A,#N/A,FALSE,"장축";#N/A,#N/A,FALSE,"4WD"}</definedName>
    <definedName name="투자비비교" hidden="1">{#N/A,#N/A,FALSE,"단축1";#N/A,#N/A,FALSE,"단축2";#N/A,#N/A,FALSE,"단축3";#N/A,#N/A,FALSE,"장축";#N/A,#N/A,FALSE,"4WD"}</definedName>
    <definedName name="ㅍ" localSheetId="1" hidden="1">{#N/A,#N/A,FALSE,"표지";#N/A,#N/A,FALSE,"전제";#N/A,#N/A,FALSE,"대당";#N/A,#N/A,FALSE,"가공비";#N/A,#N/A,FALSE,"재료비";#N/A,#N/A,FALSE,"손익"}</definedName>
    <definedName name="ㅍ" hidden="1">{#N/A,#N/A,FALSE,"표지";#N/A,#N/A,FALSE,"전제";#N/A,#N/A,FALSE,"대당";#N/A,#N/A,FALSE,"가공비";#N/A,#N/A,FALSE,"재료비";#N/A,#N/A,FALSE,"손익"}</definedName>
    <definedName name="한영사전" localSheetId="1" hidden="1">{#N/A,#N/A,TRUE,"Y생산";#N/A,#N/A,TRUE,"Y판매";#N/A,#N/A,TRUE,"Y총물량";#N/A,#N/A,TRUE,"Y능력";#N/A,#N/A,TRUE,"YKD"}</definedName>
    <definedName name="한영사전" hidden="1">{#N/A,#N/A,TRUE,"Y생산";#N/A,#N/A,TRUE,"Y판매";#N/A,#N/A,TRUE,"Y총물량";#N/A,#N/A,TRUE,"Y능력";#N/A,#N/A,TRUE,"YKD"}</definedName>
    <definedName name="허ㅓ" localSheetId="1" hidden="1">{#N/A,#N/A,FALSE,"단축1";#N/A,#N/A,FALSE,"단축2";#N/A,#N/A,FALSE,"단축3";#N/A,#N/A,FALSE,"장축";#N/A,#N/A,FALSE,"4WD"}</definedName>
    <definedName name="허ㅓ" hidden="1">{#N/A,#N/A,FALSE,"단축1";#N/A,#N/A,FALSE,"단축2";#N/A,#N/A,FALSE,"단축3";#N/A,#N/A,FALSE,"장축";#N/A,#N/A,FALSE,"4WD"}</definedName>
    <definedName name="ㅏㅓ" localSheetId="1" hidden="1">{#N/A,#N/A,FALSE,"단축1";#N/A,#N/A,FALSE,"단축2";#N/A,#N/A,FALSE,"단축3";#N/A,#N/A,FALSE,"장축";#N/A,#N/A,FALSE,"4WD"}</definedName>
    <definedName name="ㅏㅓ" hidden="1">{#N/A,#N/A,FALSE,"단축1";#N/A,#N/A,FALSE,"단축2";#N/A,#N/A,FALSE,"단축3";#N/A,#N/A,FALSE,"장축";#N/A,#N/A,FALSE,"4WD"}</definedName>
    <definedName name="ㅔ" localSheetId="1" hidden="1">{#N/A,#N/A,FALSE,"단축1";#N/A,#N/A,FALSE,"단축2";#N/A,#N/A,FALSE,"단축3";#N/A,#N/A,FALSE,"장축";#N/A,#N/A,FALSE,"4WD"}</definedName>
    <definedName name="ㅔ" hidden="1">{#N/A,#N/A,FALSE,"단축1";#N/A,#N/A,FALSE,"단축2";#N/A,#N/A,FALSE,"단축3";#N/A,#N/A,FALSE,"장축";#N/A,#N/A,FALSE,"4WD"}</definedName>
    <definedName name="ㅛ" localSheetId="1" hidden="1">{#N/A,#N/A,FALSE,"단축1";#N/A,#N/A,FALSE,"단축2";#N/A,#N/A,FALSE,"단축3";#N/A,#N/A,FALSE,"장축";#N/A,#N/A,FALSE,"4WD"}</definedName>
    <definedName name="ㅛ" hidden="1">{#N/A,#N/A,FALSE,"단축1";#N/A,#N/A,FALSE,"단축2";#N/A,#N/A,FALSE,"단축3";#N/A,#N/A,FALSE,"장축";#N/A,#N/A,FALSE,"4WD"}</definedName>
    <definedName name="ㅜ" localSheetId="1" hidden="1">{#N/A,#N/A,FALSE,"단축1";#N/A,#N/A,FALSE,"단축2";#N/A,#N/A,FALSE,"단축3";#N/A,#N/A,FALSE,"장축";#N/A,#N/A,FALSE,"4WD"}</definedName>
    <definedName name="ㅜ" hidden="1">{#N/A,#N/A,FALSE,"단축1";#N/A,#N/A,FALSE,"단축2";#N/A,#N/A,FALSE,"단축3";#N/A,#N/A,FALSE,"장축";#N/A,#N/A,FALSE,"4WD"}</definedName>
    <definedName name="ㅠ" localSheetId="1" hidden="1">{#N/A,#N/A,FALSE,"단축1";#N/A,#N/A,FALSE,"단축2";#N/A,#N/A,FALSE,"단축3";#N/A,#N/A,FALSE,"장축";#N/A,#N/A,FALSE,"4WD"}</definedName>
    <definedName name="ㅠ" hidden="1">{#N/A,#N/A,FALSE,"단축1";#N/A,#N/A,FALSE,"단축2";#N/A,#N/A,FALSE,"단축3";#N/A,#N/A,FALSE,"장축";#N/A,#N/A,FALSE,"4WD"}</definedName>
    <definedName name="ㅡ" localSheetId="1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ㅡ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ㅣㅏ" localSheetId="1" hidden="1">{#N/A,#N/A,FALSE,"단축1";#N/A,#N/A,FALSE,"단축2";#N/A,#N/A,FALSE,"단축3";#N/A,#N/A,FALSE,"장축";#N/A,#N/A,FALSE,"4WD"}</definedName>
    <definedName name="ㅣㅏ" hidden="1">{#N/A,#N/A,FALSE,"단축1";#N/A,#N/A,FALSE,"단축2";#N/A,#N/A,FALSE,"단축3";#N/A,#N/A,FALSE,"장축";#N/A,#N/A,FALSE,"4WD"}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4" i="11" l="1"/>
  <c r="C23" i="11"/>
  <c r="A23" i="11"/>
  <c r="A25" i="9"/>
  <c r="A23" i="9"/>
  <c r="A28" i="8" s="1"/>
  <c r="U29" i="8"/>
  <c r="G29" i="8"/>
  <c r="J29" i="8" s="1"/>
  <c r="J28" i="8"/>
  <c r="G28" i="8"/>
  <c r="U28" i="8" s="1"/>
  <c r="G27" i="8"/>
  <c r="J27" i="8" s="1"/>
  <c r="U27" i="8" s="1"/>
  <c r="F27" i="8"/>
  <c r="J26" i="8"/>
  <c r="U26" i="8" s="1"/>
  <c r="G26" i="8"/>
  <c r="F26" i="8"/>
  <c r="W25" i="8"/>
  <c r="S25" i="8"/>
  <c r="R25" i="8"/>
  <c r="T25" i="8" s="1"/>
  <c r="Q25" i="8"/>
  <c r="P25" i="8"/>
  <c r="O25" i="8"/>
  <c r="N25" i="8"/>
  <c r="M25" i="8"/>
  <c r="L25" i="8"/>
  <c r="I25" i="8"/>
  <c r="H25" i="8"/>
  <c r="D25" i="8"/>
  <c r="C25" i="8"/>
  <c r="K25" i="8" s="1"/>
  <c r="B25" i="8"/>
  <c r="J25" i="8" s="1"/>
  <c r="U25" i="8" s="1"/>
  <c r="Y25" i="8" s="1"/>
  <c r="S24" i="8"/>
  <c r="R24" i="8"/>
  <c r="Q24" i="8"/>
  <c r="P24" i="8"/>
  <c r="O24" i="8"/>
  <c r="T24" i="8" s="1"/>
  <c r="N24" i="8"/>
  <c r="M24" i="8"/>
  <c r="L24" i="8"/>
  <c r="I24" i="8"/>
  <c r="H24" i="8"/>
  <c r="W24" i="8" s="1"/>
  <c r="C24" i="8"/>
  <c r="K24" i="8" s="1"/>
  <c r="B24" i="8"/>
  <c r="J24" i="8" s="1"/>
  <c r="U24" i="8" s="1"/>
  <c r="Y24" i="8" s="1"/>
  <c r="W23" i="8"/>
  <c r="S23" i="8"/>
  <c r="R23" i="8"/>
  <c r="Q23" i="8"/>
  <c r="P23" i="8"/>
  <c r="O23" i="8"/>
  <c r="N23" i="8"/>
  <c r="M23" i="8"/>
  <c r="L23" i="8"/>
  <c r="T23" i="8" s="1"/>
  <c r="J23" i="8"/>
  <c r="I23" i="8"/>
  <c r="H23" i="8"/>
  <c r="C23" i="8"/>
  <c r="K23" i="8" s="1"/>
  <c r="B23" i="8"/>
  <c r="D23" i="8" s="1"/>
  <c r="S22" i="8"/>
  <c r="R22" i="8"/>
  <c r="Q22" i="8"/>
  <c r="P22" i="8"/>
  <c r="O22" i="8"/>
  <c r="N22" i="8"/>
  <c r="M22" i="8"/>
  <c r="L22" i="8"/>
  <c r="T22" i="8" s="1"/>
  <c r="J22" i="8"/>
  <c r="I22" i="8"/>
  <c r="K22" i="8" s="1"/>
  <c r="H22" i="8"/>
  <c r="W22" i="8" s="1"/>
  <c r="D22" i="8"/>
  <c r="C22" i="8"/>
  <c r="B22" i="8"/>
  <c r="S21" i="8"/>
  <c r="R21" i="8"/>
  <c r="Q21" i="8"/>
  <c r="P21" i="8"/>
  <c r="O21" i="8"/>
  <c r="N21" i="8"/>
  <c r="M21" i="8"/>
  <c r="L21" i="8"/>
  <c r="T21" i="8" s="1"/>
  <c r="I21" i="8"/>
  <c r="H21" i="8"/>
  <c r="W21" i="8" s="1"/>
  <c r="C21" i="8"/>
  <c r="B21" i="8"/>
  <c r="S20" i="8"/>
  <c r="R20" i="8"/>
  <c r="Q20" i="8"/>
  <c r="P20" i="8"/>
  <c r="O20" i="8"/>
  <c r="N20" i="8"/>
  <c r="M20" i="8"/>
  <c r="L20" i="8"/>
  <c r="T20" i="8" s="1"/>
  <c r="I20" i="8"/>
  <c r="H20" i="8"/>
  <c r="W20" i="8" s="1"/>
  <c r="C20" i="8"/>
  <c r="K20" i="8" s="1"/>
  <c r="B20" i="8"/>
  <c r="J20" i="8" s="1"/>
  <c r="U20" i="8" s="1"/>
  <c r="Y20" i="8" s="1"/>
  <c r="W19" i="8"/>
  <c r="T19" i="8"/>
  <c r="S19" i="8"/>
  <c r="R19" i="8"/>
  <c r="Q19" i="8"/>
  <c r="P19" i="8"/>
  <c r="O19" i="8"/>
  <c r="N19" i="8"/>
  <c r="M19" i="8"/>
  <c r="L19" i="8"/>
  <c r="K19" i="8"/>
  <c r="I19" i="8"/>
  <c r="H19" i="8"/>
  <c r="C19" i="8"/>
  <c r="B19" i="8"/>
  <c r="J19" i="8" s="1"/>
  <c r="U19" i="8" s="1"/>
  <c r="Y19" i="8" s="1"/>
  <c r="W18" i="8"/>
  <c r="S18" i="8"/>
  <c r="T18" i="8" s="1"/>
  <c r="R18" i="8"/>
  <c r="Q18" i="8"/>
  <c r="P18" i="8"/>
  <c r="O18" i="8"/>
  <c r="N18" i="8"/>
  <c r="M18" i="8"/>
  <c r="L18" i="8"/>
  <c r="I18" i="8"/>
  <c r="H18" i="8"/>
  <c r="C18" i="8"/>
  <c r="K18" i="8" s="1"/>
  <c r="B18" i="8"/>
  <c r="D18" i="8" s="1"/>
  <c r="W17" i="8"/>
  <c r="S17" i="8"/>
  <c r="R17" i="8"/>
  <c r="Q17" i="8"/>
  <c r="P17" i="8"/>
  <c r="T17" i="8" s="1"/>
  <c r="O17" i="8"/>
  <c r="N17" i="8"/>
  <c r="M17" i="8"/>
  <c r="L17" i="8"/>
  <c r="I17" i="8"/>
  <c r="E17" i="8"/>
  <c r="C17" i="8"/>
  <c r="K17" i="8" s="1"/>
  <c r="B17" i="8"/>
  <c r="J17" i="8" s="1"/>
  <c r="W16" i="8"/>
  <c r="X16" i="8" s="1"/>
  <c r="S16" i="8"/>
  <c r="R16" i="8"/>
  <c r="Q16" i="8"/>
  <c r="P16" i="8"/>
  <c r="O16" i="8"/>
  <c r="N16" i="8"/>
  <c r="M16" i="8"/>
  <c r="L16" i="8"/>
  <c r="T16" i="8" s="1"/>
  <c r="K16" i="8"/>
  <c r="J16" i="8"/>
  <c r="U16" i="8" s="1"/>
  <c r="Y16" i="8" s="1"/>
  <c r="E16" i="8"/>
  <c r="D16" i="8"/>
  <c r="C16" i="8"/>
  <c r="B16" i="8"/>
  <c r="W15" i="8"/>
  <c r="S15" i="8"/>
  <c r="R15" i="8"/>
  <c r="Q15" i="8"/>
  <c r="P15" i="8"/>
  <c r="O15" i="8"/>
  <c r="N15" i="8"/>
  <c r="M15" i="8"/>
  <c r="L15" i="8"/>
  <c r="T15" i="8" s="1"/>
  <c r="J15" i="8"/>
  <c r="I15" i="8"/>
  <c r="E15" i="8"/>
  <c r="C15" i="8"/>
  <c r="K15" i="8" s="1"/>
  <c r="B15" i="8"/>
  <c r="D15" i="8" s="1"/>
  <c r="V15" i="8" s="1"/>
  <c r="X15" i="8" s="1"/>
  <c r="W14" i="8"/>
  <c r="S14" i="8"/>
  <c r="R14" i="8"/>
  <c r="Q14" i="8"/>
  <c r="P14" i="8"/>
  <c r="O14" i="8"/>
  <c r="N14" i="8"/>
  <c r="M14" i="8"/>
  <c r="L14" i="8"/>
  <c r="T14" i="8" s="1"/>
  <c r="K14" i="8"/>
  <c r="I14" i="8"/>
  <c r="E14" i="8"/>
  <c r="C14" i="8"/>
  <c r="B14" i="8"/>
  <c r="J14" i="8" s="1"/>
  <c r="S13" i="8"/>
  <c r="R13" i="8"/>
  <c r="Q13" i="8"/>
  <c r="P13" i="8"/>
  <c r="O13" i="8"/>
  <c r="N13" i="8"/>
  <c r="M13" i="8"/>
  <c r="L13" i="8"/>
  <c r="T13" i="8" s="1"/>
  <c r="K13" i="8"/>
  <c r="J13" i="8"/>
  <c r="U13" i="8" s="1"/>
  <c r="I13" i="8"/>
  <c r="E13" i="8"/>
  <c r="W13" i="8" s="1"/>
  <c r="C13" i="8"/>
  <c r="D13" i="8" s="1"/>
  <c r="V13" i="8" s="1"/>
  <c r="X13" i="8" s="1"/>
  <c r="B13" i="8"/>
  <c r="S12" i="8"/>
  <c r="R12" i="8"/>
  <c r="Q12" i="8"/>
  <c r="P12" i="8"/>
  <c r="O12" i="8"/>
  <c r="N12" i="8"/>
  <c r="M12" i="8"/>
  <c r="L12" i="8"/>
  <c r="T12" i="8" s="1"/>
  <c r="J12" i="8"/>
  <c r="I12" i="8"/>
  <c r="K12" i="8" s="1"/>
  <c r="E12" i="8"/>
  <c r="W12" i="8" s="1"/>
  <c r="D12" i="8"/>
  <c r="V12" i="8" s="1"/>
  <c r="X12" i="8" s="1"/>
  <c r="C12" i="8"/>
  <c r="B12" i="8"/>
  <c r="S11" i="8"/>
  <c r="R11" i="8"/>
  <c r="Q11" i="8"/>
  <c r="P11" i="8"/>
  <c r="O11" i="8"/>
  <c r="N11" i="8"/>
  <c r="M11" i="8"/>
  <c r="L11" i="8"/>
  <c r="T11" i="8" s="1"/>
  <c r="I11" i="8"/>
  <c r="K11" i="8" s="1"/>
  <c r="E11" i="8"/>
  <c r="C11" i="8"/>
  <c r="D11" i="8" s="1"/>
  <c r="V11" i="8" s="1"/>
  <c r="B11" i="8"/>
  <c r="S10" i="8"/>
  <c r="R10" i="8"/>
  <c r="Q10" i="8"/>
  <c r="P10" i="8"/>
  <c r="O10" i="8"/>
  <c r="N10" i="8"/>
  <c r="M10" i="8"/>
  <c r="L10" i="8"/>
  <c r="T10" i="8" s="1"/>
  <c r="I10" i="8"/>
  <c r="K10" i="8" s="1"/>
  <c r="E10" i="8"/>
  <c r="J10" i="8" s="1"/>
  <c r="D10" i="8"/>
  <c r="V10" i="8" s="1"/>
  <c r="C10" i="8"/>
  <c r="B10" i="8"/>
  <c r="S9" i="8"/>
  <c r="R9" i="8"/>
  <c r="Q9" i="8"/>
  <c r="P9" i="8"/>
  <c r="O9" i="8"/>
  <c r="N9" i="8"/>
  <c r="M9" i="8"/>
  <c r="L9" i="8"/>
  <c r="T9" i="8" s="1"/>
  <c r="I9" i="8"/>
  <c r="E9" i="8"/>
  <c r="J9" i="8" s="1"/>
  <c r="C9" i="8"/>
  <c r="B9" i="8"/>
  <c r="S8" i="8"/>
  <c r="R8" i="8"/>
  <c r="Q8" i="8"/>
  <c r="P8" i="8"/>
  <c r="O8" i="8"/>
  <c r="N8" i="8"/>
  <c r="M8" i="8"/>
  <c r="L8" i="8"/>
  <c r="T8" i="8" s="1"/>
  <c r="I8" i="8"/>
  <c r="E8" i="8"/>
  <c r="W8" i="8" s="1"/>
  <c r="C8" i="8"/>
  <c r="K8" i="8" s="1"/>
  <c r="B8" i="8"/>
  <c r="S7" i="8"/>
  <c r="R7" i="8"/>
  <c r="Q7" i="8"/>
  <c r="P7" i="8"/>
  <c r="O7" i="8"/>
  <c r="N7" i="8"/>
  <c r="M7" i="8"/>
  <c r="L7" i="8"/>
  <c r="T7" i="8" s="1"/>
  <c r="I7" i="8"/>
  <c r="E7" i="8"/>
  <c r="W7" i="8" s="1"/>
  <c r="C7" i="8"/>
  <c r="K7" i="8" s="1"/>
  <c r="B7" i="8"/>
  <c r="J7" i="8" s="1"/>
  <c r="H24" i="7"/>
  <c r="J15" i="7"/>
  <c r="I15" i="7"/>
  <c r="I14" i="7"/>
  <c r="J14" i="7" s="1"/>
  <c r="I13" i="7"/>
  <c r="J13" i="7" s="1"/>
  <c r="I12" i="7"/>
  <c r="I24" i="7" s="1"/>
  <c r="C6" i="7"/>
  <c r="C5" i="7"/>
  <c r="B16" i="7" s="1"/>
  <c r="C4" i="7"/>
  <c r="C3" i="7"/>
  <c r="C2" i="7"/>
  <c r="C1" i="7"/>
  <c r="CE41" i="6"/>
  <c r="CD41" i="6"/>
  <c r="CC41" i="6"/>
  <c r="CB41" i="6"/>
  <c r="CA41" i="6"/>
  <c r="BZ41" i="6"/>
  <c r="BY41" i="6"/>
  <c r="BX41" i="6"/>
  <c r="BW41" i="6"/>
  <c r="BV41" i="6"/>
  <c r="BT41" i="6"/>
  <c r="BS41" i="6"/>
  <c r="BO41" i="6"/>
  <c r="BI41" i="6"/>
  <c r="BH41" i="6"/>
  <c r="BG41" i="6"/>
  <c r="BE41" i="6"/>
  <c r="BD41" i="6"/>
  <c r="BC41" i="6"/>
  <c r="BB41" i="6"/>
  <c r="AZ41" i="6"/>
  <c r="AY41" i="6"/>
  <c r="AX41" i="6"/>
  <c r="AW41" i="6"/>
  <c r="AV41" i="6"/>
  <c r="AU41" i="6"/>
  <c r="AT41" i="6"/>
  <c r="AS41" i="6"/>
  <c r="AR41" i="6"/>
  <c r="AQ41" i="6"/>
  <c r="AP41" i="6"/>
  <c r="AO41" i="6"/>
  <c r="AN41" i="6"/>
  <c r="AM41" i="6"/>
  <c r="AL41" i="6"/>
  <c r="AK41" i="6"/>
  <c r="AJ41" i="6"/>
  <c r="AI41" i="6"/>
  <c r="AH41" i="6"/>
  <c r="AG41" i="6"/>
  <c r="AF41" i="6"/>
  <c r="AE41" i="6"/>
  <c r="AD41" i="6"/>
  <c r="AC41" i="6"/>
  <c r="AB41" i="6"/>
  <c r="AA41" i="6"/>
  <c r="Z41" i="6"/>
  <c r="Y41" i="6"/>
  <c r="X41" i="6"/>
  <c r="W41" i="6"/>
  <c r="V41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BI37" i="6"/>
  <c r="BH37" i="6"/>
  <c r="BG37" i="6"/>
  <c r="BE37" i="6"/>
  <c r="BB37" i="6"/>
  <c r="F37" i="6"/>
  <c r="BI36" i="6"/>
  <c r="BH36" i="6"/>
  <c r="BG36" i="6"/>
  <c r="BE36" i="6"/>
  <c r="BC36" i="6"/>
  <c r="BB36" i="6"/>
  <c r="F36" i="6"/>
  <c r="BI35" i="6"/>
  <c r="BH35" i="6"/>
  <c r="BG35" i="6"/>
  <c r="BE35" i="6"/>
  <c r="BB35" i="6"/>
  <c r="F35" i="6"/>
  <c r="BI34" i="6"/>
  <c r="BH34" i="6"/>
  <c r="BG34" i="6"/>
  <c r="BE34" i="6"/>
  <c r="BC34" i="6"/>
  <c r="BB34" i="6"/>
  <c r="F34" i="6"/>
  <c r="BI33" i="6"/>
  <c r="BH33" i="6"/>
  <c r="BG33" i="6"/>
  <c r="BE33" i="6"/>
  <c r="BB33" i="6"/>
  <c r="F33" i="6"/>
  <c r="BI32" i="6"/>
  <c r="BH32" i="6"/>
  <c r="BG32" i="6"/>
  <c r="BE32" i="6"/>
  <c r="BC32" i="6"/>
  <c r="BB32" i="6"/>
  <c r="F32" i="6"/>
  <c r="BI31" i="6"/>
  <c r="BH31" i="6"/>
  <c r="BE31" i="6"/>
  <c r="BB31" i="6"/>
  <c r="F31" i="6"/>
  <c r="BG31" i="6" s="1"/>
  <c r="BI30" i="6"/>
  <c r="BH30" i="6"/>
  <c r="BG30" i="6"/>
  <c r="BE30" i="6"/>
  <c r="BB30" i="6"/>
  <c r="F30" i="6"/>
  <c r="BI29" i="6"/>
  <c r="BH29" i="6"/>
  <c r="BG29" i="6"/>
  <c r="BE29" i="6"/>
  <c r="BC29" i="6"/>
  <c r="BB29" i="6"/>
  <c r="F29" i="6"/>
  <c r="BI28" i="6"/>
  <c r="BH28" i="6"/>
  <c r="BE28" i="6"/>
  <c r="BB28" i="6"/>
  <c r="F28" i="6"/>
  <c r="BG28" i="6" s="1"/>
  <c r="BI27" i="6"/>
  <c r="BH27" i="6"/>
  <c r="BG27" i="6"/>
  <c r="BE27" i="6"/>
  <c r="BB27" i="6"/>
  <c r="F27" i="6"/>
  <c r="BI26" i="6"/>
  <c r="BH26" i="6"/>
  <c r="BG26" i="6"/>
  <c r="BE26" i="6"/>
  <c r="BC26" i="6"/>
  <c r="BB26" i="6"/>
  <c r="F26" i="6"/>
  <c r="BI25" i="6"/>
  <c r="BH25" i="6"/>
  <c r="BE25" i="6"/>
  <c r="BB25" i="6"/>
  <c r="F25" i="6"/>
  <c r="BG25" i="6" s="1"/>
  <c r="BI24" i="6"/>
  <c r="BH24" i="6"/>
  <c r="BG24" i="6"/>
  <c r="BE24" i="6"/>
  <c r="BB24" i="6"/>
  <c r="F24" i="6"/>
  <c r="BI23" i="6"/>
  <c r="BH23" i="6"/>
  <c r="BG23" i="6"/>
  <c r="BE23" i="6"/>
  <c r="BC23" i="6"/>
  <c r="BB23" i="6"/>
  <c r="F23" i="6"/>
  <c r="BI22" i="6"/>
  <c r="BH22" i="6"/>
  <c r="BE22" i="6"/>
  <c r="BB22" i="6"/>
  <c r="F22" i="6"/>
  <c r="BG22" i="6" s="1"/>
  <c r="BI21" i="6"/>
  <c r="BH21" i="6"/>
  <c r="BG21" i="6"/>
  <c r="BE21" i="6"/>
  <c r="BB21" i="6"/>
  <c r="BK41" i="6" s="1"/>
  <c r="F21" i="6"/>
  <c r="BI20" i="6"/>
  <c r="BH20" i="6"/>
  <c r="BG20" i="6"/>
  <c r="BE20" i="6"/>
  <c r="BC20" i="6"/>
  <c r="BB20" i="6"/>
  <c r="F20" i="6"/>
  <c r="BI19" i="6"/>
  <c r="BH19" i="6"/>
  <c r="BE19" i="6"/>
  <c r="BB19" i="6"/>
  <c r="F19" i="6"/>
  <c r="BG19" i="6" s="1"/>
  <c r="BI18" i="6"/>
  <c r="BH18" i="6"/>
  <c r="BG18" i="6"/>
  <c r="BE18" i="6"/>
  <c r="BC18" i="6"/>
  <c r="BB18" i="6"/>
  <c r="F18" i="6"/>
  <c r="BI17" i="6"/>
  <c r="BH17" i="6"/>
  <c r="BE17" i="6"/>
  <c r="BB17" i="6"/>
  <c r="F17" i="6"/>
  <c r="BG17" i="6" s="1"/>
  <c r="BI16" i="6"/>
  <c r="BH16" i="6"/>
  <c r="BE16" i="6"/>
  <c r="BB16" i="6"/>
  <c r="F16" i="6"/>
  <c r="BG16" i="6" s="1"/>
  <c r="BI15" i="6"/>
  <c r="BH15" i="6"/>
  <c r="BG15" i="6"/>
  <c r="BE15" i="6"/>
  <c r="BC15" i="6"/>
  <c r="BB15" i="6"/>
  <c r="F15" i="6"/>
  <c r="BI14" i="6"/>
  <c r="BH14" i="6"/>
  <c r="BE14" i="6"/>
  <c r="BB14" i="6"/>
  <c r="F14" i="6"/>
  <c r="BG14" i="6" s="1"/>
  <c r="BI13" i="6"/>
  <c r="BH13" i="6"/>
  <c r="BE13" i="6"/>
  <c r="BB13" i="6"/>
  <c r="F13" i="6"/>
  <c r="BG13" i="6" s="1"/>
  <c r="BI12" i="6"/>
  <c r="BR41" i="6" s="1"/>
  <c r="BH12" i="6"/>
  <c r="BQ41" i="6" s="1"/>
  <c r="BG12" i="6"/>
  <c r="BE12" i="6"/>
  <c r="BN41" i="6" s="1"/>
  <c r="BC12" i="6"/>
  <c r="BB12" i="6"/>
  <c r="F12" i="6"/>
  <c r="CE10" i="6"/>
  <c r="CD10" i="6"/>
  <c r="CC10" i="6"/>
  <c r="CB10" i="6"/>
  <c r="CA10" i="6"/>
  <c r="BZ10" i="6"/>
  <c r="BY10" i="6"/>
  <c r="BX10" i="6"/>
  <c r="BW10" i="6"/>
  <c r="BV10" i="6"/>
  <c r="H10" i="6"/>
  <c r="C4" i="6"/>
  <c r="C2" i="6"/>
  <c r="C1" i="6"/>
  <c r="AJ36" i="5"/>
  <c r="AB36" i="5"/>
  <c r="AA36" i="5"/>
  <c r="Y36" i="5"/>
  <c r="X36" i="5"/>
  <c r="W36" i="5"/>
  <c r="V36" i="5"/>
  <c r="T36" i="5"/>
  <c r="AJ34" i="5"/>
  <c r="AI34" i="5"/>
  <c r="AH34" i="5"/>
  <c r="AG34" i="5"/>
  <c r="AF34" i="5"/>
  <c r="AE34" i="5"/>
  <c r="AD34" i="5"/>
  <c r="AC34" i="5"/>
  <c r="AB34" i="5"/>
  <c r="AA34" i="5"/>
  <c r="Y34" i="5"/>
  <c r="X34" i="5"/>
  <c r="W34" i="5"/>
  <c r="V34" i="5"/>
  <c r="U34" i="5"/>
  <c r="U36" i="5" s="1"/>
  <c r="T34" i="5"/>
  <c r="S34" i="5"/>
  <c r="S36" i="5" s="1"/>
  <c r="R34" i="5"/>
  <c r="R36" i="5" s="1"/>
  <c r="Q34" i="5"/>
  <c r="Q36" i="5" s="1"/>
  <c r="P34" i="5"/>
  <c r="P36" i="5" s="1"/>
  <c r="H34" i="5"/>
  <c r="H36" i="5" s="1"/>
  <c r="M31" i="5"/>
  <c r="L31" i="5"/>
  <c r="N31" i="5" s="1"/>
  <c r="J31" i="5"/>
  <c r="I31" i="5"/>
  <c r="N30" i="5"/>
  <c r="M30" i="5"/>
  <c r="L30" i="5"/>
  <c r="I30" i="5"/>
  <c r="J30" i="5" s="1"/>
  <c r="M29" i="5"/>
  <c r="L29" i="5"/>
  <c r="N29" i="5" s="1"/>
  <c r="I29" i="5"/>
  <c r="J29" i="5" s="1"/>
  <c r="M28" i="5"/>
  <c r="L28" i="5"/>
  <c r="N28" i="5" s="1"/>
  <c r="I28" i="5"/>
  <c r="J28" i="5" s="1"/>
  <c r="M27" i="5"/>
  <c r="M34" i="5" s="1"/>
  <c r="L27" i="5"/>
  <c r="N27" i="5" s="1"/>
  <c r="I27" i="5"/>
  <c r="I34" i="5" s="1"/>
  <c r="I36" i="5" s="1"/>
  <c r="AD15" i="2" s="1"/>
  <c r="N26" i="5"/>
  <c r="M26" i="5"/>
  <c r="L26" i="5"/>
  <c r="I26" i="5"/>
  <c r="J26" i="5" s="1"/>
  <c r="M25" i="5"/>
  <c r="L25" i="5"/>
  <c r="N25" i="5" s="1"/>
  <c r="I25" i="5"/>
  <c r="J25" i="5" s="1"/>
  <c r="M24" i="5"/>
  <c r="N24" i="5" s="1"/>
  <c r="N34" i="5" s="1"/>
  <c r="L24" i="5"/>
  <c r="L34" i="5" s="1"/>
  <c r="I24" i="5"/>
  <c r="J24" i="5" s="1"/>
  <c r="AJ22" i="5"/>
  <c r="AI22" i="5"/>
  <c r="AI36" i="5" s="1"/>
  <c r="AH22" i="5"/>
  <c r="AH36" i="5" s="1"/>
  <c r="AG22" i="5"/>
  <c r="AG36" i="5" s="1"/>
  <c r="AF22" i="5"/>
  <c r="AF36" i="5" s="1"/>
  <c r="AE22" i="5"/>
  <c r="AE36" i="5" s="1"/>
  <c r="AD22" i="5"/>
  <c r="AD36" i="5" s="1"/>
  <c r="AC22" i="5"/>
  <c r="AC36" i="5" s="1"/>
  <c r="AB22" i="5"/>
  <c r="AA22" i="5"/>
  <c r="Y22" i="5"/>
  <c r="X22" i="5"/>
  <c r="W22" i="5"/>
  <c r="V22" i="5"/>
  <c r="U22" i="5"/>
  <c r="T22" i="5"/>
  <c r="S22" i="5"/>
  <c r="R22" i="5"/>
  <c r="Q22" i="5"/>
  <c r="P22" i="5"/>
  <c r="H22" i="5"/>
  <c r="M20" i="5"/>
  <c r="L20" i="5"/>
  <c r="N20" i="5" s="1"/>
  <c r="J20" i="5"/>
  <c r="I20" i="5"/>
  <c r="N19" i="5"/>
  <c r="M19" i="5"/>
  <c r="L19" i="5"/>
  <c r="I19" i="5"/>
  <c r="J19" i="5" s="1"/>
  <c r="M18" i="5"/>
  <c r="L18" i="5"/>
  <c r="N18" i="5" s="1"/>
  <c r="I18" i="5"/>
  <c r="J18" i="5" s="1"/>
  <c r="M17" i="5"/>
  <c r="L17" i="5"/>
  <c r="N17" i="5" s="1"/>
  <c r="I17" i="5"/>
  <c r="J17" i="5" s="1"/>
  <c r="M16" i="5"/>
  <c r="M22" i="5" s="1"/>
  <c r="L16" i="5"/>
  <c r="N16" i="5" s="1"/>
  <c r="I16" i="5"/>
  <c r="J16" i="5" s="1"/>
  <c r="N15" i="5"/>
  <c r="M15" i="5"/>
  <c r="L15" i="5"/>
  <c r="I15" i="5"/>
  <c r="J15" i="5" s="1"/>
  <c r="M14" i="5"/>
  <c r="L14" i="5"/>
  <c r="N14" i="5" s="1"/>
  <c r="I14" i="5"/>
  <c r="J14" i="5" s="1"/>
  <c r="M13" i="5"/>
  <c r="N13" i="5" s="1"/>
  <c r="L13" i="5"/>
  <c r="I13" i="5"/>
  <c r="J13" i="5" s="1"/>
  <c r="M12" i="5"/>
  <c r="L12" i="5"/>
  <c r="L22" i="5" s="1"/>
  <c r="I12" i="5"/>
  <c r="I22" i="5" s="1"/>
  <c r="AJ10" i="5"/>
  <c r="AI10" i="5"/>
  <c r="AH10" i="5"/>
  <c r="AG10" i="5"/>
  <c r="AF10" i="5"/>
  <c r="AE10" i="5"/>
  <c r="AD10" i="5"/>
  <c r="AC10" i="5"/>
  <c r="AB10" i="5"/>
  <c r="AA10" i="5"/>
  <c r="C4" i="5"/>
  <c r="C3" i="5"/>
  <c r="C2" i="5"/>
  <c r="C1" i="5"/>
  <c r="CO20" i="4"/>
  <c r="CN20" i="4"/>
  <c r="CM20" i="4"/>
  <c r="CL20" i="4"/>
  <c r="CK20" i="4"/>
  <c r="CJ20" i="4"/>
  <c r="CI20" i="4"/>
  <c r="CH20" i="4"/>
  <c r="CG20" i="4"/>
  <c r="CD20" i="4"/>
  <c r="CC20" i="4"/>
  <c r="CB20" i="4"/>
  <c r="CA20" i="4"/>
  <c r="BZ20" i="4"/>
  <c r="BY20" i="4"/>
  <c r="BX20" i="4"/>
  <c r="BW20" i="4"/>
  <c r="BV20" i="4"/>
  <c r="BU20" i="4"/>
  <c r="BK20" i="4"/>
  <c r="AX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BR18" i="4"/>
  <c r="BS18" i="4" s="1"/>
  <c r="BQ18" i="4"/>
  <c r="BN18" i="4"/>
  <c r="BO18" i="4" s="1"/>
  <c r="BM18" i="4"/>
  <c r="BR17" i="4"/>
  <c r="BN17" i="4"/>
  <c r="BM17" i="4"/>
  <c r="BO17" i="4" s="1"/>
  <c r="BS16" i="4"/>
  <c r="BR16" i="4"/>
  <c r="BQ16" i="4"/>
  <c r="BN16" i="4"/>
  <c r="BO16" i="4" s="1"/>
  <c r="BM16" i="4"/>
  <c r="CF15" i="4"/>
  <c r="BR15" i="4" s="1"/>
  <c r="BN15" i="4"/>
  <c r="BO15" i="4" s="1"/>
  <c r="BM15" i="4"/>
  <c r="BQ15" i="4" s="1"/>
  <c r="BS15" i="4" s="1"/>
  <c r="CF14" i="4"/>
  <c r="BR14" i="4" s="1"/>
  <c r="BN14" i="4"/>
  <c r="BN20" i="4" s="1"/>
  <c r="AD14" i="2" s="1"/>
  <c r="BM14" i="4"/>
  <c r="BQ14" i="4" s="1"/>
  <c r="BS14" i="4" s="1"/>
  <c r="CF13" i="4"/>
  <c r="CF20" i="4" s="1"/>
  <c r="BR13" i="4"/>
  <c r="BQ13" i="4"/>
  <c r="BO13" i="4"/>
  <c r="BN13" i="4"/>
  <c r="BM13" i="4"/>
  <c r="CF12" i="4"/>
  <c r="BR12" i="4"/>
  <c r="BN12" i="4"/>
  <c r="BM12" i="4"/>
  <c r="BQ12" i="4" s="1"/>
  <c r="CO10" i="4"/>
  <c r="CN10" i="4"/>
  <c r="CM10" i="4"/>
  <c r="CL10" i="4"/>
  <c r="CK10" i="4"/>
  <c r="CJ10" i="4"/>
  <c r="CI10" i="4"/>
  <c r="CH10" i="4"/>
  <c r="CG10" i="4"/>
  <c r="CF10" i="4"/>
  <c r="H10" i="4"/>
  <c r="I10" i="6" s="1"/>
  <c r="C4" i="4"/>
  <c r="C2" i="4"/>
  <c r="C1" i="4"/>
  <c r="AJ59" i="3"/>
  <c r="AI59" i="3"/>
  <c r="AH59" i="3"/>
  <c r="AG59" i="3"/>
  <c r="AF59" i="3"/>
  <c r="AE59" i="3"/>
  <c r="AD59" i="3"/>
  <c r="AC59" i="3"/>
  <c r="AB59" i="3"/>
  <c r="AA59" i="3"/>
  <c r="H59" i="3"/>
  <c r="H57" i="3"/>
  <c r="N55" i="3"/>
  <c r="M55" i="3"/>
  <c r="L55" i="3"/>
  <c r="I55" i="3"/>
  <c r="J55" i="3" s="1"/>
  <c r="M54" i="3"/>
  <c r="L54" i="3"/>
  <c r="N54" i="3" s="1"/>
  <c r="J54" i="3"/>
  <c r="I54" i="3"/>
  <c r="M53" i="3"/>
  <c r="L53" i="3"/>
  <c r="N53" i="3" s="1"/>
  <c r="I53" i="3"/>
  <c r="J53" i="3" s="1"/>
  <c r="M52" i="3"/>
  <c r="N52" i="3" s="1"/>
  <c r="L52" i="3"/>
  <c r="J52" i="3"/>
  <c r="I52" i="3"/>
  <c r="M51" i="3"/>
  <c r="L51" i="3"/>
  <c r="N51" i="3" s="1"/>
  <c r="J51" i="3"/>
  <c r="I51" i="3"/>
  <c r="M50" i="3"/>
  <c r="L50" i="3"/>
  <c r="N50" i="3" s="1"/>
  <c r="I50" i="3"/>
  <c r="J50" i="3" s="1"/>
  <c r="N49" i="3"/>
  <c r="M49" i="3"/>
  <c r="L49" i="3"/>
  <c r="I49" i="3"/>
  <c r="J49" i="3" s="1"/>
  <c r="M48" i="3"/>
  <c r="L48" i="3"/>
  <c r="J48" i="3"/>
  <c r="I48" i="3"/>
  <c r="I57" i="3" s="1"/>
  <c r="Y46" i="3"/>
  <c r="X46" i="3"/>
  <c r="W46" i="3"/>
  <c r="V46" i="3"/>
  <c r="U46" i="3"/>
  <c r="T46" i="3"/>
  <c r="S46" i="3"/>
  <c r="R46" i="3"/>
  <c r="Q46" i="3"/>
  <c r="P46" i="3"/>
  <c r="H46" i="3"/>
  <c r="M44" i="3"/>
  <c r="L44" i="3"/>
  <c r="N44" i="3" s="1"/>
  <c r="I44" i="3"/>
  <c r="J44" i="3" s="1"/>
  <c r="M43" i="3"/>
  <c r="N43" i="3" s="1"/>
  <c r="L43" i="3"/>
  <c r="J43" i="3"/>
  <c r="I43" i="3"/>
  <c r="N42" i="3"/>
  <c r="M42" i="3"/>
  <c r="L42" i="3"/>
  <c r="I42" i="3"/>
  <c r="J42" i="3" s="1"/>
  <c r="M41" i="3"/>
  <c r="L41" i="3"/>
  <c r="N41" i="3" s="1"/>
  <c r="J41" i="3"/>
  <c r="I41" i="3"/>
  <c r="M40" i="3"/>
  <c r="L40" i="3"/>
  <c r="N40" i="3" s="1"/>
  <c r="I40" i="3"/>
  <c r="J40" i="3" s="1"/>
  <c r="M39" i="3"/>
  <c r="M46" i="3" s="1"/>
  <c r="L39" i="3"/>
  <c r="J39" i="3"/>
  <c r="I39" i="3"/>
  <c r="M38" i="3"/>
  <c r="L38" i="3"/>
  <c r="N38" i="3" s="1"/>
  <c r="J38" i="3"/>
  <c r="I38" i="3"/>
  <c r="M37" i="3"/>
  <c r="L37" i="3"/>
  <c r="N37" i="3" s="1"/>
  <c r="I37" i="3"/>
  <c r="J37" i="3" s="1"/>
  <c r="N36" i="3"/>
  <c r="M36" i="3"/>
  <c r="L36" i="3"/>
  <c r="I36" i="3"/>
  <c r="I46" i="3" s="1"/>
  <c r="Y34" i="3"/>
  <c r="Y59" i="3" s="1"/>
  <c r="X34" i="3"/>
  <c r="X59" i="3" s="1"/>
  <c r="W34" i="3"/>
  <c r="W59" i="3" s="1"/>
  <c r="V34" i="3"/>
  <c r="V59" i="3" s="1"/>
  <c r="U34" i="3"/>
  <c r="T34" i="3"/>
  <c r="T59" i="3" s="1"/>
  <c r="S34" i="3"/>
  <c r="R34" i="3"/>
  <c r="Q34" i="3"/>
  <c r="P34" i="3"/>
  <c r="P59" i="3" s="1"/>
  <c r="H34" i="3"/>
  <c r="M32" i="3"/>
  <c r="N32" i="3" s="1"/>
  <c r="L32" i="3"/>
  <c r="I32" i="3"/>
  <c r="J32" i="3" s="1"/>
  <c r="M31" i="3"/>
  <c r="L31" i="3"/>
  <c r="N31" i="3" s="1"/>
  <c r="I31" i="3"/>
  <c r="J31" i="3" s="1"/>
  <c r="M30" i="3"/>
  <c r="N30" i="3" s="1"/>
  <c r="L30" i="3"/>
  <c r="J30" i="3"/>
  <c r="I30" i="3"/>
  <c r="N29" i="3"/>
  <c r="M29" i="3"/>
  <c r="L29" i="3"/>
  <c r="I29" i="3"/>
  <c r="J29" i="3" s="1"/>
  <c r="M28" i="3"/>
  <c r="L28" i="3"/>
  <c r="N28" i="3" s="1"/>
  <c r="J28" i="3"/>
  <c r="I28" i="3"/>
  <c r="M27" i="3"/>
  <c r="L27" i="3"/>
  <c r="N27" i="3" s="1"/>
  <c r="I27" i="3"/>
  <c r="J27" i="3" s="1"/>
  <c r="M26" i="3"/>
  <c r="N26" i="3" s="1"/>
  <c r="L26" i="3"/>
  <c r="J26" i="3"/>
  <c r="I26" i="3"/>
  <c r="M25" i="3"/>
  <c r="L25" i="3"/>
  <c r="N25" i="3" s="1"/>
  <c r="J25" i="3"/>
  <c r="I25" i="3"/>
  <c r="M24" i="3"/>
  <c r="M34" i="3" s="1"/>
  <c r="L24" i="3"/>
  <c r="N24" i="3" s="1"/>
  <c r="I24" i="3"/>
  <c r="J24" i="3" s="1"/>
  <c r="Y22" i="3"/>
  <c r="X22" i="3"/>
  <c r="W22" i="3"/>
  <c r="V22" i="3"/>
  <c r="U22" i="3"/>
  <c r="U59" i="3" s="1"/>
  <c r="T22" i="3"/>
  <c r="S22" i="3"/>
  <c r="S59" i="3" s="1"/>
  <c r="R22" i="3"/>
  <c r="R59" i="3" s="1"/>
  <c r="Q22" i="3"/>
  <c r="Q59" i="3" s="1"/>
  <c r="P22" i="3"/>
  <c r="H22" i="3"/>
  <c r="M20" i="3"/>
  <c r="L20" i="3"/>
  <c r="N20" i="3" s="1"/>
  <c r="J20" i="3"/>
  <c r="I20" i="3"/>
  <c r="M19" i="3"/>
  <c r="N19" i="3" s="1"/>
  <c r="L19" i="3"/>
  <c r="I19" i="3"/>
  <c r="J19" i="3" s="1"/>
  <c r="M18" i="3"/>
  <c r="L18" i="3"/>
  <c r="I18" i="3"/>
  <c r="J18" i="3" s="1"/>
  <c r="M17" i="3"/>
  <c r="N17" i="3" s="1"/>
  <c r="L17" i="3"/>
  <c r="J17" i="3"/>
  <c r="I17" i="3"/>
  <c r="N16" i="3"/>
  <c r="M16" i="3"/>
  <c r="L16" i="3"/>
  <c r="I16" i="3"/>
  <c r="J16" i="3" s="1"/>
  <c r="M15" i="3"/>
  <c r="L15" i="3"/>
  <c r="N15" i="3" s="1"/>
  <c r="J15" i="3"/>
  <c r="I15" i="3"/>
  <c r="M14" i="3"/>
  <c r="L14" i="3"/>
  <c r="N14" i="3" s="1"/>
  <c r="I14" i="3"/>
  <c r="M13" i="3"/>
  <c r="N13" i="3" s="1"/>
  <c r="L13" i="3"/>
  <c r="J13" i="3"/>
  <c r="I13" i="3"/>
  <c r="M12" i="3"/>
  <c r="L12" i="3"/>
  <c r="L22" i="3" s="1"/>
  <c r="J12" i="3"/>
  <c r="I12" i="3"/>
  <c r="AJ10" i="3"/>
  <c r="AI10" i="3"/>
  <c r="AH10" i="3"/>
  <c r="AG10" i="3"/>
  <c r="AF10" i="3"/>
  <c r="AE10" i="3"/>
  <c r="AD10" i="3"/>
  <c r="AC10" i="3"/>
  <c r="AB10" i="3"/>
  <c r="AA10" i="3"/>
  <c r="C6" i="3"/>
  <c r="C5" i="3"/>
  <c r="C4" i="3"/>
  <c r="C3" i="3"/>
  <c r="C2" i="3"/>
  <c r="C1" i="3"/>
  <c r="Z19" i="2"/>
  <c r="Y19" i="2"/>
  <c r="X19" i="2"/>
  <c r="W19" i="2"/>
  <c r="Q19" i="2"/>
  <c r="O19" i="2"/>
  <c r="M19" i="2"/>
  <c r="K19" i="2"/>
  <c r="F19" i="2"/>
  <c r="AD18" i="2"/>
  <c r="V18" i="2"/>
  <c r="U18" i="2"/>
  <c r="S18" i="2"/>
  <c r="R18" i="2"/>
  <c r="AG16" i="2"/>
  <c r="AF16" i="2"/>
  <c r="AE16" i="2"/>
  <c r="AD16" i="2"/>
  <c r="AC16" i="2"/>
  <c r="AB16" i="2"/>
  <c r="V16" i="2"/>
  <c r="U16" i="2"/>
  <c r="S16" i="2"/>
  <c r="R16" i="2"/>
  <c r="V15" i="2"/>
  <c r="U15" i="2"/>
  <c r="S15" i="2"/>
  <c r="R15" i="2"/>
  <c r="V14" i="2"/>
  <c r="U14" i="2"/>
  <c r="S14" i="2"/>
  <c r="I14" i="2"/>
  <c r="H14" i="2"/>
  <c r="R14" i="2" s="1"/>
  <c r="V13" i="2"/>
  <c r="U13" i="2"/>
  <c r="I13" i="2"/>
  <c r="S13" i="2" s="1"/>
  <c r="H13" i="2"/>
  <c r="R13" i="2" s="1"/>
  <c r="R19" i="2" s="1"/>
  <c r="S12" i="2"/>
  <c r="S19" i="2" s="1"/>
  <c r="F19" i="1" s="1"/>
  <c r="G12" i="2"/>
  <c r="G19" i="2" s="1"/>
  <c r="F17" i="1" s="1"/>
  <c r="C8" i="2"/>
  <c r="C6" i="4" s="1"/>
  <c r="C7" i="2"/>
  <c r="C5" i="4" s="1"/>
  <c r="C6" i="2"/>
  <c r="C5" i="2"/>
  <c r="C3" i="4" s="1"/>
  <c r="C4" i="2"/>
  <c r="C3" i="2"/>
  <c r="H20" i="1"/>
  <c r="D9" i="8" l="1"/>
  <c r="V9" i="8" s="1"/>
  <c r="K9" i="8"/>
  <c r="J11" i="8"/>
  <c r="U11" i="8" s="1"/>
  <c r="W11" i="8"/>
  <c r="X11" i="8" s="1"/>
  <c r="T30" i="8"/>
  <c r="J34" i="3"/>
  <c r="BP41" i="6"/>
  <c r="N39" i="3"/>
  <c r="N46" i="3" s="1"/>
  <c r="U9" i="8"/>
  <c r="K21" i="8"/>
  <c r="K30" i="8" s="1"/>
  <c r="D21" i="8"/>
  <c r="BR20" i="4"/>
  <c r="AE14" i="2" s="1"/>
  <c r="BS13" i="4"/>
  <c r="M57" i="3"/>
  <c r="I22" i="3"/>
  <c r="V19" i="2"/>
  <c r="D13" i="1" s="1"/>
  <c r="U22" i="8"/>
  <c r="Y22" i="8" s="1"/>
  <c r="BQ20" i="4"/>
  <c r="BS12" i="4"/>
  <c r="BS20" i="4" s="1"/>
  <c r="AG14" i="2" s="1"/>
  <c r="AC14" i="2" s="1"/>
  <c r="AJ14" i="2" s="1"/>
  <c r="BL41" i="6"/>
  <c r="N34" i="3"/>
  <c r="D8" i="8"/>
  <c r="V8" i="8" s="1"/>
  <c r="X8" i="8" s="1"/>
  <c r="J8" i="8"/>
  <c r="U8" i="8" s="1"/>
  <c r="Y8" i="8" s="1"/>
  <c r="J57" i="3"/>
  <c r="AI16" i="2"/>
  <c r="F18" i="1"/>
  <c r="M36" i="5"/>
  <c r="AE15" i="2" s="1"/>
  <c r="U10" i="8"/>
  <c r="Y10" i="8" s="1"/>
  <c r="U23" i="8"/>
  <c r="Y23" i="8" s="1"/>
  <c r="C30" i="8"/>
  <c r="U15" i="8"/>
  <c r="Y15" i="8" s="1"/>
  <c r="U19" i="2"/>
  <c r="U7" i="8"/>
  <c r="U12" i="8"/>
  <c r="Y12" i="8" s="1"/>
  <c r="U17" i="8"/>
  <c r="Y17" i="8" s="1"/>
  <c r="Y13" i="8"/>
  <c r="M22" i="3"/>
  <c r="M59" i="3" s="1"/>
  <c r="AE13" i="2" s="1"/>
  <c r="L57" i="3"/>
  <c r="N48" i="3"/>
  <c r="N57" i="3" s="1"/>
  <c r="AJ16" i="2"/>
  <c r="U14" i="8"/>
  <c r="Y14" i="8" s="1"/>
  <c r="L34" i="3"/>
  <c r="L59" i="3" s="1"/>
  <c r="BO12" i="4"/>
  <c r="BO20" i="4" s="1"/>
  <c r="AF14" i="2" s="1"/>
  <c r="AB14" i="2" s="1"/>
  <c r="AI14" i="2" s="1"/>
  <c r="J27" i="5"/>
  <c r="J34" i="5" s="1"/>
  <c r="J36" i="5" s="1"/>
  <c r="AF15" i="2" s="1"/>
  <c r="AB15" i="2" s="1"/>
  <c r="AI15" i="2" s="1"/>
  <c r="J21" i="8"/>
  <c r="U21" i="8" s="1"/>
  <c r="Y21" i="8" s="1"/>
  <c r="BO14" i="4"/>
  <c r="I34" i="3"/>
  <c r="I59" i="3" s="1"/>
  <c r="AD13" i="2" s="1"/>
  <c r="AD19" i="2" s="1"/>
  <c r="L36" i="5"/>
  <c r="C5" i="5"/>
  <c r="B17" i="7"/>
  <c r="D17" i="8"/>
  <c r="J18" i="8"/>
  <c r="U18" i="8" s="1"/>
  <c r="Y18" i="8" s="1"/>
  <c r="C6" i="5"/>
  <c r="C3" i="6"/>
  <c r="B18" i="7"/>
  <c r="D24" i="8"/>
  <c r="J14" i="3"/>
  <c r="J22" i="3" s="1"/>
  <c r="D20" i="8"/>
  <c r="B19" i="7"/>
  <c r="D7" i="8"/>
  <c r="BQ17" i="4"/>
  <c r="BS17" i="4" s="1"/>
  <c r="J12" i="7"/>
  <c r="J24" i="7" s="1"/>
  <c r="C5" i="6"/>
  <c r="G22" i="7"/>
  <c r="W10" i="8"/>
  <c r="X10" i="8" s="1"/>
  <c r="C6" i="6"/>
  <c r="W9" i="8"/>
  <c r="N12" i="3"/>
  <c r="D14" i="8"/>
  <c r="V14" i="8" s="1"/>
  <c r="X14" i="8" s="1"/>
  <c r="I10" i="4"/>
  <c r="J36" i="3"/>
  <c r="J46" i="3" s="1"/>
  <c r="L46" i="3"/>
  <c r="I19" i="2"/>
  <c r="B30" i="8"/>
  <c r="N18" i="3"/>
  <c r="J12" i="5"/>
  <c r="J22" i="5" s="1"/>
  <c r="BM20" i="4"/>
  <c r="N12" i="5"/>
  <c r="D19" i="8"/>
  <c r="J10" i="6" l="1"/>
  <c r="J10" i="4"/>
  <c r="J30" i="8"/>
  <c r="U30" i="8"/>
  <c r="N22" i="3"/>
  <c r="N59" i="3" s="1"/>
  <c r="AG13" i="2" s="1"/>
  <c r="J22" i="7"/>
  <c r="AE18" i="2" s="1"/>
  <c r="AE19" i="2" s="1"/>
  <c r="I22" i="7"/>
  <c r="H22" i="7"/>
  <c r="V7" i="8"/>
  <c r="X7" i="8" s="1"/>
  <c r="D30" i="8"/>
  <c r="J59" i="3"/>
  <c r="AF13" i="2" s="1"/>
  <c r="N22" i="5"/>
  <c r="N36" i="5"/>
  <c r="AG15" i="2" s="1"/>
  <c r="AC15" i="2" s="1"/>
  <c r="AJ15" i="2" s="1"/>
  <c r="Y11" i="8"/>
  <c r="AG18" i="2"/>
  <c r="X9" i="8"/>
  <c r="Y9" i="8" s="1"/>
  <c r="AG19" i="2" l="1"/>
  <c r="AC13" i="2"/>
  <c r="AC18" i="2"/>
  <c r="AJ18" i="2" s="1"/>
  <c r="X30" i="8"/>
  <c r="Y30" i="8" s="1"/>
  <c r="K10" i="6"/>
  <c r="K10" i="4"/>
  <c r="AF19" i="2"/>
  <c r="AB13" i="2"/>
  <c r="Y7" i="8"/>
  <c r="AJ13" i="2" l="1"/>
  <c r="AJ19" i="2" s="1"/>
  <c r="AC19" i="2"/>
  <c r="D14" i="1" s="1"/>
  <c r="AB19" i="2"/>
  <c r="AI13" i="2"/>
  <c r="AI19" i="2" s="1"/>
  <c r="L10" i="4"/>
  <c r="L10" i="6"/>
  <c r="M10" i="6" l="1"/>
  <c r="M10" i="4"/>
  <c r="F24" i="1"/>
  <c r="F20" i="1" s="1"/>
  <c r="F30" i="1" s="1"/>
  <c r="H14" i="1"/>
  <c r="N10" i="6" l="1"/>
  <c r="N10" i="4"/>
  <c r="O10" i="4" l="1"/>
  <c r="O10" i="6"/>
  <c r="P10" i="6" l="1"/>
  <c r="P10" i="4"/>
  <c r="Q10" i="4" l="1"/>
  <c r="Q10" i="6"/>
  <c r="R10" i="6" l="1"/>
  <c r="R10" i="4"/>
  <c r="S10" i="6" l="1"/>
  <c r="S10" i="4"/>
  <c r="T10" i="6" l="1"/>
  <c r="T10" i="4"/>
  <c r="U10" i="4" l="1"/>
  <c r="U10" i="6"/>
  <c r="V10" i="6" l="1"/>
  <c r="V10" i="4"/>
  <c r="W10" i="4" l="1"/>
  <c r="W10" i="6"/>
  <c r="X10" i="6" l="1"/>
  <c r="X10" i="4"/>
  <c r="Y10" i="4" l="1"/>
  <c r="Y10" i="6"/>
  <c r="Z10" i="4" l="1"/>
  <c r="Z10" i="6"/>
  <c r="AA10" i="4" l="1"/>
  <c r="AA10" i="6"/>
  <c r="AB10" i="6" l="1"/>
  <c r="AB10" i="4"/>
  <c r="AC10" i="4" l="1"/>
  <c r="AC10" i="6"/>
  <c r="AD10" i="6" l="1"/>
  <c r="AD10" i="4"/>
  <c r="AE10" i="6" l="1"/>
  <c r="AE10" i="4"/>
  <c r="AF10" i="6" l="1"/>
  <c r="AF10" i="4"/>
  <c r="AG10" i="6" l="1"/>
  <c r="AG10" i="4"/>
  <c r="AH10" i="4" l="1"/>
  <c r="AH10" i="6"/>
  <c r="AI10" i="4" l="1"/>
  <c r="AI10" i="6"/>
  <c r="AJ10" i="6" l="1"/>
  <c r="AJ10" i="4"/>
  <c r="AK10" i="6" l="1"/>
  <c r="AK10" i="4"/>
  <c r="AL10" i="6" l="1"/>
  <c r="AL10" i="4"/>
  <c r="AM10" i="6" l="1"/>
  <c r="AM10" i="4"/>
  <c r="AN10" i="6" l="1"/>
  <c r="AN10" i="4"/>
  <c r="AO10" i="6" l="1"/>
  <c r="AO10" i="4"/>
  <c r="AP10" i="4" s="1"/>
  <c r="AQ10" i="4" s="1"/>
  <c r="AR10" i="4" s="1"/>
  <c r="AS10" i="4" s="1"/>
  <c r="AT10" i="4" s="1"/>
  <c r="AU10" i="4" s="1"/>
  <c r="AV10" i="4" s="1"/>
  <c r="AW10" i="4" s="1"/>
  <c r="AX10" i="4" s="1"/>
  <c r="AY10" i="4" l="1"/>
  <c r="AZ10" i="4" s="1"/>
  <c r="BA10" i="4" s="1"/>
  <c r="BB10" i="4" s="1"/>
  <c r="BC10" i="4" s="1"/>
  <c r="BD10" i="4" s="1"/>
  <c r="BE10" i="4" s="1"/>
  <c r="BF10" i="4" s="1"/>
  <c r="BG10" i="4" s="1"/>
  <c r="BH10" i="4" s="1"/>
  <c r="BI10" i="4" s="1"/>
  <c r="BJ10" i="4" s="1"/>
  <c r="BK10" i="4" s="1"/>
  <c r="AZ10" i="6" s="1"/>
  <c r="AY10" i="6"/>
  <c r="BD20" i="6" l="1"/>
  <c r="BD24" i="6"/>
  <c r="BD32" i="6"/>
  <c r="BD36" i="6"/>
  <c r="BD19" i="6"/>
  <c r="BD30" i="6"/>
  <c r="BD29" i="6"/>
  <c r="BD28" i="6"/>
  <c r="BD15" i="6"/>
  <c r="BD25" i="6"/>
  <c r="BD23" i="6"/>
  <c r="BD33" i="6"/>
  <c r="BD34" i="6"/>
  <c r="BD16" i="6"/>
  <c r="BD22" i="6"/>
  <c r="BD18" i="6"/>
  <c r="BD31" i="6"/>
  <c r="BD27" i="6"/>
  <c r="BD14" i="6"/>
  <c r="BD35" i="6"/>
  <c r="BD21" i="6"/>
  <c r="BD17" i="6"/>
  <c r="BD37" i="6"/>
  <c r="BM41" i="6"/>
  <c r="BD12" i="6"/>
  <c r="BD26" i="6"/>
  <c r="BD1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X10" authorId="0" shapeId="0" xr:uid="{00000000-0006-0000-0700-000002000000}">
      <text>
        <r>
          <rPr>
            <sz val="10"/>
            <rFont val="Arial"/>
            <family val="2"/>
          </rPr>
          <t>Warwick Mylchreest:
Excluded from total due to availability issues.</t>
        </r>
      </text>
    </comment>
    <comment ref="V16" authorId="0" shapeId="0" xr:uid="{00000000-0006-0000-0700-000001000000}">
      <text>
        <r>
          <rPr>
            <sz val="10"/>
            <rFont val="Arial"/>
            <family val="2"/>
          </rPr>
          <t>Warwick Mylchreest:
No top up hours applicable.</t>
        </r>
      </text>
    </comment>
  </commentList>
</comments>
</file>

<file path=xl/sharedStrings.xml><?xml version="1.0" encoding="utf-8"?>
<sst xmlns="http://schemas.openxmlformats.org/spreadsheetml/2006/main" count="1480" uniqueCount="359">
  <si>
    <t>Payment Claim</t>
  </si>
  <si>
    <t>Progress Certificate No.</t>
  </si>
  <si>
    <t>PC004</t>
  </si>
  <si>
    <t>Payment Period</t>
  </si>
  <si>
    <t>06/12/25 - 31/01/25</t>
  </si>
  <si>
    <t>Contractor Representative</t>
  </si>
  <si>
    <t>Gavin Law</t>
  </si>
  <si>
    <t>Contractor Name</t>
  </si>
  <si>
    <t>Rirratjingu Enterprises Pty Ltd (ACN 56 639 548 137)</t>
  </si>
  <si>
    <t>PO No.</t>
  </si>
  <si>
    <t>SAP WBS</t>
  </si>
  <si>
    <t>Z-2264070.04.50.30.01</t>
  </si>
  <si>
    <t>Contract No.</t>
  </si>
  <si>
    <t>PH-AA-0001</t>
  </si>
  <si>
    <t>Contract Title</t>
  </si>
  <si>
    <t xml:space="preserve">PLANT HIRE SERVICES FOR BENTHIC REMOVAL </t>
  </si>
  <si>
    <t>AUD</t>
  </si>
  <si>
    <t>Claim Value</t>
  </si>
  <si>
    <t>Amount Approved for Payment</t>
  </si>
  <si>
    <t>AUSTRALIAN DOLLAR</t>
  </si>
  <si>
    <t>CONTRACT PRICE (excl. GST)</t>
  </si>
  <si>
    <t>AUTHORISED VARIATIONS</t>
  </si>
  <si>
    <t>REVISED CONTRACT PRICE</t>
  </si>
  <si>
    <t>APPROVED TO DATE</t>
  </si>
  <si>
    <t>PC001 Sep-25</t>
  </si>
  <si>
    <t>PC002 Oct-25</t>
  </si>
  <si>
    <t>PC003 Nov-25 - 6 Dec-25</t>
  </si>
  <si>
    <t>PC004 Dec 25 - Jan 26</t>
  </si>
  <si>
    <t>REMAINING VALUE</t>
  </si>
  <si>
    <t>In accordance with General Condition cl 14.2(c), the Company Representative responds with reasons for withholding payment as follows:</t>
  </si>
  <si>
    <t xml:space="preserve">- Refer to comments included at Attachment A </t>
  </si>
  <si>
    <t>Company Notes:</t>
  </si>
  <si>
    <t>Pump charges have been removed from this Progress Claim. WM will review with RAC which pumps are on site and charges can be captured in PC004.</t>
  </si>
  <si>
    <t>Attachments:</t>
  </si>
  <si>
    <t>1 - PC003</t>
  </si>
  <si>
    <t>Approval</t>
  </si>
  <si>
    <t>Name</t>
  </si>
  <si>
    <t>Signature</t>
  </si>
  <si>
    <t>Date</t>
  </si>
  <si>
    <t>Procurement and Contracts</t>
  </si>
  <si>
    <t>Jake Shaw</t>
  </si>
  <si>
    <t>Project Controls</t>
  </si>
  <si>
    <t>Tong Fu</t>
  </si>
  <si>
    <t>Alfredo Vitangcol</t>
  </si>
  <si>
    <t>Project Manager</t>
  </si>
  <si>
    <t>Shaine Sayed</t>
  </si>
  <si>
    <t>Attachment A - PC003</t>
  </si>
  <si>
    <t>PAYMENT CLAIM</t>
  </si>
  <si>
    <t xml:space="preserve">Contract Ref:  </t>
  </si>
  <si>
    <t xml:space="preserve">Contract Title: </t>
  </si>
  <si>
    <t>Contractor:</t>
  </si>
  <si>
    <t>SAP WBS:</t>
  </si>
  <si>
    <t>Payment No:</t>
  </si>
  <si>
    <t>Payment Period:</t>
  </si>
  <si>
    <t>SUBMITTED BY CONTRACTOR</t>
  </si>
  <si>
    <t>ASSESSED BY COMPANY</t>
  </si>
  <si>
    <t>DELTA THIS CLAIM</t>
  </si>
  <si>
    <t>Awarded Contract Price</t>
  </si>
  <si>
    <t>Contract Variation 001</t>
  </si>
  <si>
    <t>Contract Variation 002</t>
  </si>
  <si>
    <t>Contract Variation 003</t>
  </si>
  <si>
    <t>Contract Variation 004</t>
  </si>
  <si>
    <t>Contract Variation 00</t>
  </si>
  <si>
    <t>Revised Contract Price</t>
  </si>
  <si>
    <t xml:space="preserve">This Claim </t>
  </si>
  <si>
    <t>Previously Certified Amounts</t>
  </si>
  <si>
    <t>Cumulative to Date</t>
  </si>
  <si>
    <t>ITEM</t>
  </si>
  <si>
    <t>DESCRIPTION</t>
  </si>
  <si>
    <t>LS/CP/
SOR/PS</t>
  </si>
  <si>
    <t>UNIT</t>
  </si>
  <si>
    <t>Hours</t>
  </si>
  <si>
    <t>Amount (AUD)</t>
  </si>
  <si>
    <t>QTY</t>
  </si>
  <si>
    <t>AMOUNT 
(A)</t>
  </si>
  <si>
    <t>AMOUNT 
(B)</t>
  </si>
  <si>
    <t>AMOUNT 
(C = A + B)</t>
  </si>
  <si>
    <t xml:space="preserve">AMOUNT 
(D) </t>
  </si>
  <si>
    <t>AMOUNT 
(E)</t>
  </si>
  <si>
    <t>AMOUNT
(F = D + E)</t>
  </si>
  <si>
    <t>AMOUNT
(G = F - C)</t>
  </si>
  <si>
    <t>A.2</t>
  </si>
  <si>
    <t>Schedule of Rates</t>
  </si>
  <si>
    <t>A.2.1</t>
  </si>
  <si>
    <t>Rates for Mobilisation &amp; Demobilisation - Manual Personnel</t>
  </si>
  <si>
    <t>SOR</t>
  </si>
  <si>
    <t>Lot</t>
  </si>
  <si>
    <t>A.2.3</t>
  </si>
  <si>
    <t>Rates for Labour</t>
  </si>
  <si>
    <t>A.2.4</t>
  </si>
  <si>
    <t>Rates for Mobilisation &amp; Demobilisation - Plant &amp; Equipment</t>
  </si>
  <si>
    <t>A.2.5</t>
  </si>
  <si>
    <t>Rates for Plant &amp; Equipment</t>
  </si>
  <si>
    <t>Days</t>
  </si>
  <si>
    <t>A.4</t>
  </si>
  <si>
    <t>Variations</t>
  </si>
  <si>
    <t>A.4.1</t>
  </si>
  <si>
    <t>Variations - Site Instruction</t>
  </si>
  <si>
    <t>CP</t>
  </si>
  <si>
    <t>Total</t>
  </si>
  <si>
    <t>TABLE A.2.1 - Mobilisation / Demobilistation - Personnel</t>
  </si>
  <si>
    <t>Hours (Previous Payments)</t>
  </si>
  <si>
    <t>Payments (AUD) (Previous Payments)</t>
  </si>
  <si>
    <t>Item</t>
  </si>
  <si>
    <t>Position</t>
  </si>
  <si>
    <t>Personnel Name(s)</t>
  </si>
  <si>
    <t>Labour Rate
AUD/Hr</t>
  </si>
  <si>
    <t>UoM</t>
  </si>
  <si>
    <t xml:space="preserve">This Payment
</t>
  </si>
  <si>
    <t>Previous Payments
Hours</t>
  </si>
  <si>
    <t>Total Payment
Hours</t>
  </si>
  <si>
    <t>This Payment
AUD</t>
  </si>
  <si>
    <t>Previous Payments
AUD</t>
  </si>
  <si>
    <t>Total Payment
AUD</t>
  </si>
  <si>
    <t>PC001</t>
  </si>
  <si>
    <t>PC002</t>
  </si>
  <si>
    <t>PC003</t>
  </si>
  <si>
    <t>PC005</t>
  </si>
  <si>
    <t>PC006</t>
  </si>
  <si>
    <t>PC007</t>
  </si>
  <si>
    <t>PC008</t>
  </si>
  <si>
    <t>PC009</t>
  </si>
  <si>
    <t>PC010</t>
  </si>
  <si>
    <t>Contractor Comments</t>
  </si>
  <si>
    <t>Company Comments</t>
  </si>
  <si>
    <t>Mobilisation - Personnel</t>
  </si>
  <si>
    <t>A.2.1-101a</t>
  </si>
  <si>
    <t>Operators - pre-mobilisation medical</t>
  </si>
  <si>
    <t>Byron  McCann</t>
  </si>
  <si>
    <t>Hrs</t>
  </si>
  <si>
    <t>4hrs as per Schedule A.99</t>
  </si>
  <si>
    <t>Steven Mungatopi</t>
  </si>
  <si>
    <t>Arthur De Saint Andrieu</t>
  </si>
  <si>
    <t>Andres Ramirez</t>
  </si>
  <si>
    <t>Jack Barlee</t>
  </si>
  <si>
    <t>Stewart Rioli</t>
  </si>
  <si>
    <t>Joy Mather</t>
  </si>
  <si>
    <t>Payden Coghill</t>
  </si>
  <si>
    <t>Jarrad Ernst</t>
  </si>
  <si>
    <t>Subtotal - pre-mobilisation medical</t>
  </si>
  <si>
    <t>Mobilisation - preparation &amp; onboarding</t>
  </si>
  <si>
    <t>A.2.1-101b</t>
  </si>
  <si>
    <t>Operators - preparation &amp; onboarding</t>
  </si>
  <si>
    <t>EA</t>
  </si>
  <si>
    <t>incl's site-specific PPE, (2hrs + 3hrs) for offsite / onsite inductions as per Schedule A.99</t>
  </si>
  <si>
    <t>Subtotal - preparation &amp; onboarding</t>
  </si>
  <si>
    <t>Mobilisation - mobilise to site</t>
  </si>
  <si>
    <t>A.2.1-101c</t>
  </si>
  <si>
    <t>Operators - mobilise to site</t>
  </si>
  <si>
    <t>5hrs travel time as per Schedule A.99</t>
  </si>
  <si>
    <t>Subtotal - mobilise to site</t>
  </si>
  <si>
    <t>Demobilisation - Personnel</t>
  </si>
  <si>
    <t>A.2.1-301a</t>
  </si>
  <si>
    <t>Operators - demobilise from site</t>
  </si>
  <si>
    <t>Total - Mobilisation / Demobilistation - Personnel</t>
  </si>
  <si>
    <t xml:space="preserve">Table A.2.3 - Costs for Personnel </t>
  </si>
  <si>
    <t>This Payment
Hours</t>
  </si>
  <si>
    <t>See comments in individual cells</t>
  </si>
  <si>
    <t>A.2.3-101</t>
  </si>
  <si>
    <t>Operators</t>
  </si>
  <si>
    <t>TOTAL</t>
  </si>
  <si>
    <t>Table A.2.4 -  Mobilisation &amp; Demobilisation - Plant &amp; Equipment</t>
  </si>
  <si>
    <t>Equipment Type</t>
  </si>
  <si>
    <t>Equipment No.</t>
  </si>
  <si>
    <t>Rate
(AUD)</t>
  </si>
  <si>
    <t>Mobilisation - Plant and Equipment (by road)</t>
  </si>
  <si>
    <t>A.7.4-101</t>
  </si>
  <si>
    <t>25t Excavator LGP Tracks</t>
  </si>
  <si>
    <t>EX10</t>
  </si>
  <si>
    <t>A.7.4-102</t>
  </si>
  <si>
    <t>36t Excavator LGP Tracks</t>
  </si>
  <si>
    <t>EX17</t>
  </si>
  <si>
    <t>A.7.4-103</t>
  </si>
  <si>
    <t>D6 Dozer LGP Tracks</t>
  </si>
  <si>
    <t>YQ087</t>
  </si>
  <si>
    <t>A.7.4-104a</t>
  </si>
  <si>
    <t>30t Articulated Dumptruck #1</t>
  </si>
  <si>
    <t>TAT52</t>
  </si>
  <si>
    <t>A.7.4-104b</t>
  </si>
  <si>
    <t>30t Articulated Dumptruck #2</t>
  </si>
  <si>
    <t>TAT56</t>
  </si>
  <si>
    <t>A.7.4-105</t>
  </si>
  <si>
    <t>Service Truck</t>
  </si>
  <si>
    <t>IGROUP58</t>
  </si>
  <si>
    <t>A.7.4-106</t>
  </si>
  <si>
    <t>Rigid Watercart</t>
  </si>
  <si>
    <t>TW06</t>
  </si>
  <si>
    <t>A.7.4-107a</t>
  </si>
  <si>
    <t>4WD Twin Cab LV #1</t>
  </si>
  <si>
    <t>CC21IT</t>
  </si>
  <si>
    <t>A.7.4-107b</t>
  </si>
  <si>
    <t>4WD Twin Cab LV #2</t>
  </si>
  <si>
    <t>CC95AY</t>
  </si>
  <si>
    <t>Subtotal - Plant and Equipment (by road)</t>
  </si>
  <si>
    <t>Demobilisation - Plant and Equipment (by barge)</t>
  </si>
  <si>
    <t>Subtotal -  Plant and Equipment (by barge)</t>
  </si>
  <si>
    <t>Total - Mobilisation &amp; Demobilisation - Plant &amp; Equipment</t>
  </si>
  <si>
    <t>Table A.2.5 - Costs for Plant and Equipment</t>
  </si>
  <si>
    <t>Plant Classification</t>
  </si>
  <si>
    <t>Plant Equipment Reg. No</t>
  </si>
  <si>
    <t>PE Rate
AUD/Day</t>
  </si>
  <si>
    <t>PE Rate
AUD/Hr</t>
  </si>
  <si>
    <t>Hours as per signed Dayworks</t>
  </si>
  <si>
    <t>Combined monthly hours</t>
  </si>
  <si>
    <t>25t Excavator LGP Tracks - Standby</t>
  </si>
  <si>
    <t>25t Excavator LGP Tracks - Breakdown</t>
  </si>
  <si>
    <t>36t Excavator LGP Tracks - Standby</t>
  </si>
  <si>
    <t>36t Excavator LGP Tracks - Breakdown</t>
  </si>
  <si>
    <t>D6 Dozer LGP Tracks - Standby</t>
  </si>
  <si>
    <t>30t Articulated Dumptruck #1 - Standby</t>
  </si>
  <si>
    <t>30t Articulated Dumptruck #1 - Breakdown</t>
  </si>
  <si>
    <t>30t Articulated Dumptruck #2 - Standby</t>
  </si>
  <si>
    <t>30t Articulated Dumptruck #2 - Breakdown</t>
  </si>
  <si>
    <t>Service Truck - Standby</t>
  </si>
  <si>
    <t>Service Truck - Breakdown</t>
  </si>
  <si>
    <t>Rigid Watercart - Standby</t>
  </si>
  <si>
    <t>Rigid Watercart - Breakdown</t>
  </si>
  <si>
    <t>4WD Twin Cab LV #1 - Standby</t>
  </si>
  <si>
    <t>4WD Twin Cab LV #2 - Standby</t>
  </si>
  <si>
    <t>4WD Twin Cab LV #3</t>
  </si>
  <si>
    <t>TBA</t>
  </si>
  <si>
    <t>4WD Twin Cab LV #3 - Standby</t>
  </si>
  <si>
    <t>Table A.4 - Purchase</t>
  </si>
  <si>
    <t>Payment No</t>
  </si>
  <si>
    <t>Item No.</t>
  </si>
  <si>
    <t>Description</t>
  </si>
  <si>
    <t>Invoice Date</t>
  </si>
  <si>
    <t>Invoice No.</t>
  </si>
  <si>
    <t>Vendor Name</t>
  </si>
  <si>
    <t>Invoice Amount (AUD)
Excl. GST</t>
  </si>
  <si>
    <t>Markup (12%)</t>
  </si>
  <si>
    <t>Site Instruction 001 - Signage</t>
  </si>
  <si>
    <t>Various</t>
  </si>
  <si>
    <t>Site Instruction 002 Float moves</t>
  </si>
  <si>
    <t>Docket no. 41301</t>
  </si>
  <si>
    <t>BCC</t>
  </si>
  <si>
    <t>Wallaby Beach Accomodation</t>
  </si>
  <si>
    <t>East Arnhem Real Estate</t>
  </si>
  <si>
    <t>Wallaby Beach Accomodation - Jarrad Ernst</t>
  </si>
  <si>
    <t>Subtotal for This Payment</t>
  </si>
  <si>
    <t>.</t>
  </si>
  <si>
    <t>Total -  Cumulative</t>
  </si>
  <si>
    <t>Monthly Claim - Rio Tinto</t>
  </si>
  <si>
    <t>Month Start (enter first of month):</t>
  </si>
  <si>
    <t>Minimum hours per calendar month</t>
  </si>
  <si>
    <t>Month End (auto):</t>
  </si>
  <si>
    <t>Equipment</t>
  </si>
  <si>
    <t>Operated Hours</t>
  </si>
  <si>
    <t>Standby Hours</t>
  </si>
  <si>
    <t>Total Hours</t>
  </si>
  <si>
    <t>Plant Rate</t>
  </si>
  <si>
    <t>Days Hired</t>
  </si>
  <si>
    <t>Variations Rate</t>
  </si>
  <si>
    <t>Operator Rate</t>
  </si>
  <si>
    <t>Standby Rate</t>
  </si>
  <si>
    <t>Operated ex GST</t>
  </si>
  <si>
    <t>Standby ex GST</t>
  </si>
  <si>
    <t>Prep &amp; Onboard</t>
  </si>
  <si>
    <t>Mob Barge</t>
  </si>
  <si>
    <t>DeMob Barge</t>
  </si>
  <si>
    <t>Mob Road</t>
  </si>
  <si>
    <t>DeMob Road</t>
  </si>
  <si>
    <t>Op Induction</t>
  </si>
  <si>
    <t>Op Mob</t>
  </si>
  <si>
    <t>Op DeMob</t>
  </si>
  <si>
    <t>Fixed ex GST</t>
  </si>
  <si>
    <t>Subtotal ex GST</t>
  </si>
  <si>
    <t>Top-up Hours to Min</t>
  </si>
  <si>
    <t>Operated Rate (/hr)</t>
  </si>
  <si>
    <t>Top-up ex GST</t>
  </si>
  <si>
    <t>Adj total ex GST</t>
  </si>
  <si>
    <t>Bell 30t Articulated Dumptruck #1</t>
  </si>
  <si>
    <t>Is this formula correct?</t>
  </si>
  <si>
    <t>Komatsu 30t Articulated Dumptruck #2</t>
  </si>
  <si>
    <t>RE 4WD Twin Cab LV #1</t>
  </si>
  <si>
    <t>RE 4WD Twin Cab LV #2</t>
  </si>
  <si>
    <t>Operator 1</t>
  </si>
  <si>
    <t>Operator 2</t>
  </si>
  <si>
    <t>Operator 3</t>
  </si>
  <si>
    <t>Operator 4</t>
  </si>
  <si>
    <t>Operator 5</t>
  </si>
  <si>
    <t>Operator 6</t>
  </si>
  <si>
    <t>Operator 7</t>
  </si>
  <si>
    <t>Supervisor</t>
  </si>
  <si>
    <t>3" Flex Drive Trash Pump</t>
  </si>
  <si>
    <t>4" Transfer Pump</t>
  </si>
  <si>
    <t>TOTALS</t>
  </si>
  <si>
    <t>Hours per Day</t>
  </si>
  <si>
    <t>Wallaby Beach Camp</t>
  </si>
  <si>
    <t>Breakdown Hours</t>
  </si>
  <si>
    <t>Variations Rate Days Hired</t>
  </si>
  <si>
    <t>Mob (Barge)</t>
  </si>
  <si>
    <t>DeMob (Barge)</t>
  </si>
  <si>
    <t>Mob (Road)</t>
  </si>
  <si>
    <t>DeMob (Road)</t>
  </si>
  <si>
    <t>Prep/Onboard</t>
  </si>
  <si>
    <t>Notes</t>
  </si>
  <si>
    <t>Load, Haul &amp; Place Levee Access Road</t>
  </si>
  <si>
    <t>Breakdown</t>
  </si>
  <si>
    <t>Load, Haul, Place &amp; Compact Levee Plug</t>
  </si>
  <si>
    <t>Standdown</t>
  </si>
  <si>
    <t>Trench, Realign &amp; Backfill Dewatering Pipeline</t>
  </si>
  <si>
    <t>Load, Haul &amp; Place Benthic Trial Access Road</t>
  </si>
  <si>
    <t>Benthic Drying Trial</t>
  </si>
  <si>
    <t>Plant Maintenance</t>
  </si>
  <si>
    <t>Ran for 3.3 hours and still had issues</t>
  </si>
  <si>
    <t>Dust Suppression</t>
  </si>
  <si>
    <t>Fly out day</t>
  </si>
  <si>
    <t>Pumps on site</t>
  </si>
  <si>
    <t>Levee works</t>
  </si>
  <si>
    <t>Pond 6</t>
  </si>
  <si>
    <t>Pump pad</t>
  </si>
  <si>
    <t>Haulage</t>
  </si>
  <si>
    <t>Standby</t>
  </si>
  <si>
    <t>Refuelling machines</t>
  </si>
  <si>
    <t>Benthic access road</t>
  </si>
  <si>
    <t>Mixing and loading Pond 6 Stock pile</t>
  </si>
  <si>
    <t>Benthic access road/ Tip head</t>
  </si>
  <si>
    <t>Pump pad Pond 6/ Pump install</t>
  </si>
  <si>
    <t>Haulage / Down tyre damage</t>
  </si>
  <si>
    <t>Did not use</t>
  </si>
  <si>
    <t>Borrows works</t>
  </si>
  <si>
    <t>Access Rd pipe drainage</t>
  </si>
  <si>
    <t>Dewatering/ Pipe in ground for drainage</t>
  </si>
  <si>
    <t>Down tyre damage</t>
  </si>
  <si>
    <t>Dust Suppression Pond 6</t>
  </si>
  <si>
    <t>Refuelling</t>
  </si>
  <si>
    <t>Borrow Pit 5 works/ drainage</t>
  </si>
  <si>
    <t>Draing access Rd</t>
  </si>
  <si>
    <t>Refuelling/ Down for air hose to fuel</t>
  </si>
  <si>
    <t>Down due to E-Stop Damage Caused from the task.</t>
  </si>
  <si>
    <t>Benthic Turning over</t>
  </si>
  <si>
    <t>Dust Suppression Pond 6/ Watering Pond 5 Hydromulch</t>
  </si>
  <si>
    <t>Standby due to weather</t>
  </si>
  <si>
    <t>Plant Rate (/hr)</t>
  </si>
  <si>
    <t>Variations Rate/Day</t>
  </si>
  <si>
    <t>Operator Rate (/hr)</t>
  </si>
  <si>
    <t>Standby Rate (/hr)</t>
  </si>
  <si>
    <t>Operator Induction</t>
  </si>
  <si>
    <t>Operator Mob</t>
  </si>
  <si>
    <t>Operator DeMob</t>
  </si>
  <si>
    <t>GST %</t>
  </si>
  <si>
    <t>SI#</t>
  </si>
  <si>
    <t>Cost</t>
  </si>
  <si>
    <t>Wallaby Beach Accommodation</t>
  </si>
  <si>
    <t>Real Name</t>
  </si>
  <si>
    <t>Operator Code (e.g. Operator 1)</t>
  </si>
  <si>
    <t>25t Excavator</t>
  </si>
  <si>
    <t>36t Excavator</t>
  </si>
  <si>
    <t>Bell Moxy. TAT 56</t>
  </si>
  <si>
    <t>Byron McCann</t>
  </si>
  <si>
    <t>D6 Dozer</t>
  </si>
  <si>
    <t>First operational shift</t>
  </si>
  <si>
    <t>Komatsu Moxy. TAT 52</t>
  </si>
  <si>
    <t>Materials Delivered / used:</t>
  </si>
  <si>
    <t>Materials Delivered/ used:</t>
  </si>
  <si>
    <t>Plant</t>
  </si>
  <si>
    <t>Progress/ Notes:</t>
  </si>
  <si>
    <t>Water Truck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</si>
</sst>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_(\$* #,##0.00_);_(\$* \(#,##0.00\);_(\$* \-??_);_(@_)"/>
    <numFmt numFmtId="165" formatCode="[$-C09]dd\-mmm\-yy;@"/>
    <numFmt numFmtId="166" formatCode="000"/>
    <numFmt numFmtId="167" formatCode="_-\$* #,##0.00_-;[Red]&quot;($&quot;* #,##0.00\)"/>
    <numFmt numFmtId="168" formatCode="\$#,##0.00"/>
    <numFmt numFmtId="169" formatCode="_-\$* #,##0.00_-;&quot;-$&quot;* #,##0.00_-;_-\$* \-??_-;_-@_-"/>
    <numFmt numFmtId="170" formatCode="[$-C09]0.00"/>
    <numFmt numFmtId="171" formatCode="\$#,##0.00;[Red]&quot;-$&quot;#,##0.00"/>
    <numFmt numFmtId="172" formatCode="_-* #,##0.00_-;\-* #,##0.00_-;_-* \-??_-;_-@_-"/>
    <numFmt numFmtId="173" formatCode="_(* #,##0.00_);_(* \(#,##0.00\);_(* \-??_);_(@_)"/>
    <numFmt numFmtId="174" formatCode="_-* #,##0.0_-;\-* #,##0.0_-;_-* \-??_-;_-@_-"/>
    <numFmt numFmtId="175" formatCode="_-\$* #,##0.00_-;[Red]&quot;($&quot;* #,##0.00\);_-\$* \-??_-;_-@_-"/>
    <numFmt numFmtId="176" formatCode="_-* #,##0.0_-;\-* #,##0.0_-;_-* \-?_-;_-@_-"/>
    <numFmt numFmtId="177" formatCode="0.0"/>
    <numFmt numFmtId="178" formatCode="_-* #,##0.0_-;[Red]\(* #,##0.0\);_-* \-??_-;_-@_-"/>
    <numFmt numFmtId="179" formatCode="_-* #,##0.00_-;[Red]\(* #,##0.00\);_-* \-??_-;_-@_-"/>
    <numFmt numFmtId="180" formatCode="dd\-mmm\-yy"/>
    <numFmt numFmtId="181" formatCode="dd/mm/yyyy"/>
    <numFmt numFmtId="182" formatCode="m/d/yyyy"/>
  </numFmts>
  <fonts count="26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sz val="10"/>
      <name val="Arial"/>
      <family val="2"/>
      <charset val="1"/>
    </font>
    <font>
      <sz val="10"/>
      <name val="MS Sans Serif"/>
      <family val="2"/>
      <charset val="1"/>
    </font>
    <font>
      <sz val="10"/>
      <color theme="1"/>
      <name val="Arial"/>
      <family val="2"/>
      <charset val="1"/>
    </font>
    <font>
      <b/>
      <sz val="14"/>
      <color theme="1"/>
      <name val="Arial"/>
      <family val="2"/>
      <charset val="1"/>
    </font>
    <font>
      <b/>
      <sz val="10"/>
      <color theme="1"/>
      <name val="Arial"/>
      <family val="2"/>
      <charset val="1"/>
    </font>
    <font>
      <b/>
      <sz val="10"/>
      <color theme="1" tint="4.9897762993255407E-2"/>
      <name val="Arial"/>
      <family val="2"/>
      <charset val="1"/>
    </font>
    <font>
      <sz val="11"/>
      <color rgb="FF3F3F76"/>
      <name val="Calibri"/>
      <family val="2"/>
      <charset val="1"/>
    </font>
    <font>
      <b/>
      <sz val="10"/>
      <name val="Arial"/>
      <family val="2"/>
      <charset val="1"/>
    </font>
    <font>
      <sz val="8"/>
      <color theme="1"/>
      <name val="Arial"/>
      <family val="2"/>
      <charset val="1"/>
    </font>
    <font>
      <sz val="10"/>
      <color theme="1" tint="4.9897762993255407E-2"/>
      <name val="Arial"/>
      <family val="2"/>
      <charset val="1"/>
    </font>
    <font>
      <i/>
      <sz val="10"/>
      <color theme="0" tint="-0.34998626667073579"/>
      <name val="Arial"/>
      <family val="2"/>
      <charset val="1"/>
    </font>
    <font>
      <b/>
      <sz val="12"/>
      <color theme="1"/>
      <name val="Arial"/>
      <family val="2"/>
      <charset val="1"/>
    </font>
    <font>
      <b/>
      <u/>
      <sz val="14"/>
      <color theme="1"/>
      <name val="Arial"/>
      <family val="2"/>
      <charset val="1"/>
    </font>
    <font>
      <b/>
      <sz val="22"/>
      <color theme="1"/>
      <name val="Arial"/>
      <family val="2"/>
      <charset val="1"/>
    </font>
    <font>
      <sz val="10"/>
      <color rgb="FFFF0000"/>
      <name val="Arial"/>
      <family val="2"/>
      <charset val="1"/>
    </font>
    <font>
      <b/>
      <sz val="10"/>
      <color rgb="FFFF0000"/>
      <name val="Arial"/>
      <family val="2"/>
      <charset val="1"/>
    </font>
    <font>
      <sz val="8"/>
      <name val="Arial"/>
      <family val="2"/>
      <charset val="1"/>
    </font>
    <font>
      <sz val="8"/>
      <color theme="1" tint="4.9897762993255407E-2"/>
      <name val="Arial"/>
      <family val="2"/>
      <charset val="1"/>
    </font>
    <font>
      <sz val="10"/>
      <color rgb="FF000000"/>
      <name val="Arial"/>
      <family val="2"/>
      <charset val="1"/>
    </font>
    <font>
      <b/>
      <sz val="16"/>
      <name val="Calibri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FFCC99"/>
        <bgColor rgb="FFFFC7CE"/>
      </patternFill>
    </fill>
    <fill>
      <patternFill patternType="solid">
        <fgColor rgb="FFFFFF00"/>
        <bgColor rgb="FFFFC000"/>
      </patternFill>
    </fill>
    <fill>
      <patternFill patternType="solid">
        <fgColor theme="0" tint="-0.14999847407452621"/>
        <bgColor rgb="FFC6D9F1"/>
      </patternFill>
    </fill>
    <fill>
      <patternFill patternType="solid">
        <fgColor theme="0"/>
        <bgColor rgb="FFEEF7FF"/>
      </patternFill>
    </fill>
    <fill>
      <patternFill patternType="solid">
        <fgColor theme="8" tint="0.79989013336588644"/>
        <bgColor rgb="FFEAF2FF"/>
      </patternFill>
    </fill>
    <fill>
      <patternFill patternType="solid">
        <fgColor theme="6" tint="0.79989013336588644"/>
        <bgColor rgb="FFEEECE1"/>
      </patternFill>
    </fill>
    <fill>
      <patternFill patternType="solid">
        <fgColor theme="9" tint="0.79989013336588644"/>
        <bgColor rgb="FFEEECE1"/>
      </patternFill>
    </fill>
    <fill>
      <patternFill patternType="solid">
        <fgColor theme="0" tint="-0.249977111117893"/>
        <bgColor rgb="FFCCC1DA"/>
      </patternFill>
    </fill>
    <fill>
      <patternFill patternType="solid">
        <fgColor theme="0" tint="-4.9989318521683403E-2"/>
        <bgColor rgb="FFEAF2FF"/>
      </patternFill>
    </fill>
    <fill>
      <patternFill patternType="solid">
        <fgColor rgb="FFFFFF99"/>
        <bgColor rgb="FFFDEADA"/>
      </patternFill>
    </fill>
    <fill>
      <patternFill patternType="solid">
        <fgColor rgb="FFEAF2FF"/>
        <bgColor rgb="FFEEF7FF"/>
      </patternFill>
    </fill>
    <fill>
      <patternFill patternType="solid">
        <fgColor rgb="FFEEF7FF"/>
        <bgColor rgb="FFEAF2FF"/>
      </patternFill>
    </fill>
    <fill>
      <patternFill patternType="solid">
        <fgColor theme="2"/>
        <bgColor rgb="FFEBF1DE"/>
      </patternFill>
    </fill>
    <fill>
      <patternFill patternType="solid">
        <fgColor rgb="FFFFC000"/>
        <bgColor rgb="FFFF9900"/>
      </patternFill>
    </fill>
    <fill>
      <patternFill patternType="solid">
        <fgColor theme="7" tint="0.59987182226020086"/>
        <bgColor rgb="FFBFBFBF"/>
      </patternFill>
    </fill>
    <fill>
      <patternFill patternType="solid">
        <fgColor theme="3" tint="0.79989013336588644"/>
        <bgColor rgb="FFD9D9D9"/>
      </patternFill>
    </fill>
    <fill>
      <patternFill patternType="solid">
        <fgColor rgb="FFFF0000"/>
        <bgColor rgb="FF9C0006"/>
      </patternFill>
    </fill>
  </fills>
  <borders count="4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173" fontId="25" fillId="0" borderId="0"/>
    <xf numFmtId="164" fontId="25" fillId="0" borderId="0"/>
    <xf numFmtId="164" fontId="25" fillId="0" borderId="0"/>
    <xf numFmtId="164" fontId="25" fillId="0" borderId="0"/>
    <xf numFmtId="0" fontId="2" fillId="0" borderId="0"/>
    <xf numFmtId="0" fontId="2" fillId="0" borderId="0"/>
    <xf numFmtId="165" fontId="3" fillId="0" borderId="0"/>
    <xf numFmtId="0" fontId="25" fillId="0" borderId="0"/>
    <xf numFmtId="0" fontId="8" fillId="2" borderId="1"/>
  </cellStyleXfs>
  <cellXfs count="348">
    <xf numFmtId="0" fontId="0" fillId="0" borderId="0" xfId="0"/>
    <xf numFmtId="0" fontId="6" fillId="0" borderId="2" xfId="8" applyFont="1" applyBorder="1" applyAlignment="1">
      <alignment horizontal="center" vertical="center"/>
    </xf>
    <xf numFmtId="165" fontId="2" fillId="0" borderId="13" xfId="7" applyFont="1" applyBorder="1" applyAlignment="1">
      <alignment horizontal="left" vertical="top" wrapText="1" indent="1"/>
    </xf>
    <xf numFmtId="165" fontId="6" fillId="0" borderId="3" xfId="7" applyFont="1" applyBorder="1" applyAlignment="1">
      <alignment horizontal="left" vertical="top" wrapText="1" indent="1"/>
    </xf>
    <xf numFmtId="165" fontId="4" fillId="0" borderId="13" xfId="7" applyFont="1" applyBorder="1" applyAlignment="1">
      <alignment horizontal="left" vertical="top" wrapText="1" indent="1"/>
    </xf>
    <xf numFmtId="165" fontId="6" fillId="0" borderId="12" xfId="7" applyFont="1" applyBorder="1" applyAlignment="1">
      <alignment horizontal="left" vertical="top" wrapText="1"/>
    </xf>
    <xf numFmtId="0" fontId="4" fillId="0" borderId="2" xfId="8" applyFont="1" applyBorder="1" applyAlignment="1">
      <alignment horizontal="left" vertical="center"/>
    </xf>
    <xf numFmtId="0" fontId="6" fillId="0" borderId="2" xfId="8" applyFont="1" applyBorder="1" applyAlignment="1">
      <alignment horizontal="left" vertical="center"/>
    </xf>
    <xf numFmtId="0" fontId="6" fillId="4" borderId="2" xfId="8" applyFont="1" applyFill="1" applyBorder="1" applyAlignment="1">
      <alignment horizontal="left" vertical="center" wrapText="1" indent="1"/>
    </xf>
    <xf numFmtId="0" fontId="6" fillId="4" borderId="2" xfId="8" applyFont="1" applyFill="1" applyBorder="1" applyAlignment="1">
      <alignment horizontal="center" vertical="center" wrapText="1"/>
    </xf>
    <xf numFmtId="0" fontId="4" fillId="0" borderId="2" xfId="8" applyFont="1" applyBorder="1" applyAlignment="1">
      <alignment horizontal="left" vertical="center" wrapText="1"/>
    </xf>
    <xf numFmtId="166" fontId="2" fillId="3" borderId="2" xfId="8" applyNumberFormat="1" applyFont="1" applyFill="1" applyBorder="1" applyAlignment="1">
      <alignment horizontal="left" vertical="center" wrapText="1"/>
    </xf>
    <xf numFmtId="166" fontId="2" fillId="0" borderId="2" xfId="8" applyNumberFormat="1" applyFont="1" applyBorder="1" applyAlignment="1">
      <alignment horizontal="left" vertical="center" wrapText="1"/>
    </xf>
    <xf numFmtId="0" fontId="6" fillId="0" borderId="2" xfId="8" applyFont="1" applyBorder="1" applyAlignment="1">
      <alignment vertical="center" wrapText="1"/>
    </xf>
    <xf numFmtId="0" fontId="5" fillId="0" borderId="0" xfId="8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8" applyFont="1"/>
    <xf numFmtId="0" fontId="6" fillId="4" borderId="2" xfId="8" applyFont="1" applyFill="1" applyBorder="1" applyAlignment="1">
      <alignment horizontal="center" vertical="center" wrapText="1"/>
    </xf>
    <xf numFmtId="0" fontId="6" fillId="4" borderId="3" xfId="8" applyFont="1" applyFill="1" applyBorder="1" applyAlignment="1">
      <alignment horizontal="center" vertical="center" wrapText="1"/>
    </xf>
    <xf numFmtId="0" fontId="6" fillId="4" borderId="4" xfId="8" applyFont="1" applyFill="1" applyBorder="1" applyAlignment="1">
      <alignment vertical="center" wrapText="1"/>
    </xf>
    <xf numFmtId="167" fontId="7" fillId="3" borderId="2" xfId="2" applyNumberFormat="1" applyFont="1" applyFill="1" applyBorder="1" applyAlignment="1">
      <alignment vertical="center"/>
    </xf>
    <xf numFmtId="168" fontId="9" fillId="4" borderId="5" xfId="9" applyNumberFormat="1" applyFont="1" applyFill="1" applyBorder="1" applyAlignment="1" applyProtection="1">
      <alignment horizontal="center" vertical="center"/>
      <protection locked="0"/>
    </xf>
    <xf numFmtId="0" fontId="6" fillId="4" borderId="6" xfId="8" applyFont="1" applyFill="1" applyBorder="1" applyAlignment="1">
      <alignment vertical="center" wrapText="1"/>
    </xf>
    <xf numFmtId="168" fontId="9" fillId="4" borderId="7" xfId="9" applyNumberFormat="1" applyFont="1" applyFill="1" applyBorder="1" applyAlignment="1" applyProtection="1">
      <alignment horizontal="center" vertical="center"/>
      <protection locked="0"/>
    </xf>
    <xf numFmtId="0" fontId="6" fillId="4" borderId="8" xfId="8" applyFont="1" applyFill="1" applyBorder="1" applyAlignment="1">
      <alignment vertical="center" wrapText="1"/>
    </xf>
    <xf numFmtId="169" fontId="4" fillId="0" borderId="0" xfId="0" applyNumberFormat="1" applyFont="1" applyAlignment="1">
      <alignment vertical="center"/>
    </xf>
    <xf numFmtId="0" fontId="6" fillId="0" borderId="9" xfId="8" applyFont="1" applyBorder="1" applyAlignment="1">
      <alignment horizontal="left" indent="1"/>
    </xf>
    <xf numFmtId="169" fontId="4" fillId="0" borderId="9" xfId="2" applyNumberFormat="1" applyFont="1" applyBorder="1" applyAlignment="1">
      <alignment horizontal="left" indent="1"/>
    </xf>
    <xf numFmtId="0" fontId="4" fillId="0" borderId="9" xfId="8" applyFont="1" applyBorder="1"/>
    <xf numFmtId="0" fontId="6" fillId="0" borderId="2" xfId="8" applyFont="1" applyBorder="1" applyAlignment="1">
      <alignment horizontal="center" vertical="center" wrapText="1"/>
    </xf>
    <xf numFmtId="167" fontId="7" fillId="0" borderId="2" xfId="2" applyNumberFormat="1" applyFont="1" applyBorder="1" applyAlignment="1">
      <alignment vertical="center"/>
    </xf>
    <xf numFmtId="167" fontId="6" fillId="0" borderId="10" xfId="2" applyNumberFormat="1" applyFont="1" applyBorder="1" applyAlignment="1">
      <alignment vertical="center"/>
    </xf>
    <xf numFmtId="169" fontId="10" fillId="0" borderId="0" xfId="0" applyNumberFormat="1" applyFont="1" applyAlignment="1">
      <alignment vertical="center"/>
    </xf>
    <xf numFmtId="0" fontId="4" fillId="0" borderId="2" xfId="8" applyFont="1" applyBorder="1" applyAlignment="1">
      <alignment horizontal="center" vertical="center" wrapText="1"/>
    </xf>
    <xf numFmtId="167" fontId="4" fillId="0" borderId="10" xfId="2" applyNumberFormat="1" applyFont="1" applyBorder="1" applyAlignment="1">
      <alignment vertical="center"/>
    </xf>
    <xf numFmtId="169" fontId="4" fillId="0" borderId="0" xfId="2" applyNumberFormat="1" applyFont="1" applyAlignment="1">
      <alignment vertical="center"/>
    </xf>
    <xf numFmtId="167" fontId="11" fillId="0" borderId="2" xfId="2" applyNumberFormat="1" applyFont="1" applyBorder="1" applyAlignment="1">
      <alignment vertical="center"/>
    </xf>
    <xf numFmtId="167" fontId="11" fillId="5" borderId="2" xfId="2" applyNumberFormat="1" applyFont="1" applyFill="1" applyBorder="1" applyAlignment="1">
      <alignment vertical="center"/>
    </xf>
    <xf numFmtId="167" fontId="11" fillId="3" borderId="2" xfId="2" applyNumberFormat="1" applyFont="1" applyFill="1" applyBorder="1" applyAlignment="1">
      <alignment vertical="center"/>
    </xf>
    <xf numFmtId="169" fontId="6" fillId="0" borderId="2" xfId="3" applyNumberFormat="1" applyFont="1" applyBorder="1" applyAlignment="1">
      <alignment vertical="center" wrapText="1"/>
    </xf>
    <xf numFmtId="0" fontId="6" fillId="0" borderId="11" xfId="8" applyFont="1" applyBorder="1" applyAlignment="1">
      <alignment horizontal="left" indent="1"/>
    </xf>
    <xf numFmtId="0" fontId="4" fillId="0" borderId="11" xfId="8" applyFont="1" applyBorder="1"/>
    <xf numFmtId="165" fontId="4" fillId="0" borderId="14" xfId="7" applyFont="1" applyBorder="1" applyAlignment="1">
      <alignment horizontal="left" indent="1"/>
    </xf>
    <xf numFmtId="165" fontId="4" fillId="0" borderId="0" xfId="7" applyFont="1" applyAlignment="1">
      <alignment horizontal="left" indent="1"/>
    </xf>
    <xf numFmtId="165" fontId="4" fillId="0" borderId="0" xfId="7" applyFont="1"/>
    <xf numFmtId="170" fontId="4" fillId="0" borderId="0" xfId="7" applyNumberFormat="1" applyFont="1"/>
    <xf numFmtId="165" fontId="12" fillId="0" borderId="11" xfId="7" applyFont="1" applyBorder="1" applyAlignment="1">
      <alignment vertical="top"/>
    </xf>
    <xf numFmtId="165" fontId="12" fillId="0" borderId="4" xfId="7" applyFont="1" applyBorder="1" applyAlignment="1">
      <alignment vertical="top"/>
    </xf>
    <xf numFmtId="0" fontId="6" fillId="0" borderId="2" xfId="8" applyFont="1" applyBorder="1" applyAlignment="1">
      <alignment horizontal="center" vertical="center"/>
    </xf>
    <xf numFmtId="0" fontId="6" fillId="0" borderId="15" xfId="8" applyFont="1" applyBorder="1" applyAlignment="1">
      <alignment horizontal="center" vertical="center"/>
    </xf>
    <xf numFmtId="0" fontId="4" fillId="0" borderId="2" xfId="8" applyFont="1" applyBorder="1" applyAlignment="1">
      <alignment horizontal="left" vertical="center" indent="1"/>
    </xf>
    <xf numFmtId="0" fontId="4" fillId="0" borderId="2" xfId="8" applyFont="1" applyBorder="1" applyAlignment="1">
      <alignment horizontal="center" vertical="center"/>
    </xf>
    <xf numFmtId="165" fontId="4" fillId="0" borderId="2" xfId="8" applyNumberFormat="1" applyFont="1" applyBorder="1" applyAlignment="1">
      <alignment horizontal="center" vertical="center"/>
    </xf>
    <xf numFmtId="0" fontId="4" fillId="0" borderId="2" xfId="8" applyFont="1" applyBorder="1" applyAlignment="1">
      <alignment horizontal="left" vertical="center" wrapText="1" indent="1"/>
    </xf>
    <xf numFmtId="0" fontId="4" fillId="0" borderId="0" xfId="0" applyFont="1" applyAlignment="1">
      <alignment horizontal="center" vertical="center"/>
    </xf>
    <xf numFmtId="168" fontId="4" fillId="0" borderId="0" xfId="0" applyNumberFormat="1" applyFont="1" applyAlignment="1">
      <alignment horizontal="center" vertical="center"/>
    </xf>
    <xf numFmtId="168" fontId="4" fillId="0" borderId="0" xfId="2" applyNumberFormat="1" applyFont="1" applyAlignment="1">
      <alignment horizontal="center" vertical="center"/>
    </xf>
    <xf numFmtId="171" fontId="4" fillId="0" borderId="0" xfId="2" applyNumberFormat="1" applyFont="1" applyAlignment="1">
      <alignment horizontal="center" vertical="center"/>
    </xf>
    <xf numFmtId="0" fontId="14" fillId="0" borderId="0" xfId="0" applyFont="1" applyAlignment="1">
      <alignment vertical="center"/>
    </xf>
    <xf numFmtId="168" fontId="15" fillId="0" borderId="0" xfId="2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166" fontId="4" fillId="0" borderId="0" xfId="0" applyNumberFormat="1" applyFont="1" applyAlignment="1">
      <alignment horizontal="left" vertical="center"/>
    </xf>
    <xf numFmtId="172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left" vertical="center"/>
    </xf>
    <xf numFmtId="0" fontId="6" fillId="6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6" borderId="16" xfId="0" applyFont="1" applyFill="1" applyBorder="1" applyAlignment="1">
      <alignment horizontal="center" vertical="center" wrapText="1"/>
    </xf>
    <xf numFmtId="168" fontId="6" fillId="6" borderId="17" xfId="0" applyNumberFormat="1" applyFont="1" applyFill="1" applyBorder="1" applyAlignment="1">
      <alignment horizontal="center" vertical="center" wrapText="1"/>
    </xf>
    <xf numFmtId="0" fontId="6" fillId="8" borderId="16" xfId="0" applyFont="1" applyFill="1" applyBorder="1" applyAlignment="1">
      <alignment horizontal="center" vertical="center" wrapText="1"/>
    </xf>
    <xf numFmtId="168" fontId="6" fillId="8" borderId="17" xfId="0" applyNumberFormat="1" applyFont="1" applyFill="1" applyBorder="1" applyAlignment="1">
      <alignment horizontal="center" vertical="center" wrapText="1"/>
    </xf>
    <xf numFmtId="168" fontId="6" fillId="6" borderId="2" xfId="2" applyNumberFormat="1" applyFont="1" applyFill="1" applyBorder="1" applyAlignment="1">
      <alignment horizontal="center" vertical="center" wrapText="1"/>
    </xf>
    <xf numFmtId="168" fontId="6" fillId="6" borderId="2" xfId="0" applyNumberFormat="1" applyFont="1" applyFill="1" applyBorder="1" applyAlignment="1">
      <alignment horizontal="center" vertical="center" wrapText="1"/>
    </xf>
    <xf numFmtId="168" fontId="6" fillId="7" borderId="2" xfId="2" applyNumberFormat="1" applyFont="1" applyFill="1" applyBorder="1" applyAlignment="1">
      <alignment horizontal="center" vertical="center" wrapText="1"/>
    </xf>
    <xf numFmtId="171" fontId="6" fillId="7" borderId="2" xfId="2" applyNumberFormat="1" applyFont="1" applyFill="1" applyBorder="1" applyAlignment="1">
      <alignment horizontal="center" vertical="center" wrapText="1"/>
    </xf>
    <xf numFmtId="0" fontId="6" fillId="9" borderId="18" xfId="0" applyFont="1" applyFill="1" applyBorder="1" applyAlignment="1">
      <alignment horizontal="center" vertical="center"/>
    </xf>
    <xf numFmtId="0" fontId="6" fillId="9" borderId="19" xfId="0" applyFont="1" applyFill="1" applyBorder="1" applyAlignment="1">
      <alignment vertical="center"/>
    </xf>
    <xf numFmtId="0" fontId="4" fillId="9" borderId="19" xfId="0" applyFont="1" applyFill="1" applyBorder="1" applyAlignment="1">
      <alignment horizontal="center" vertical="center"/>
    </xf>
    <xf numFmtId="0" fontId="4" fillId="9" borderId="20" xfId="0" applyFont="1" applyFill="1" applyBorder="1" applyAlignment="1">
      <alignment horizontal="center" vertical="center"/>
    </xf>
    <xf numFmtId="0" fontId="4" fillId="9" borderId="18" xfId="0" applyFont="1" applyFill="1" applyBorder="1" applyAlignment="1">
      <alignment horizontal="center" vertical="center"/>
    </xf>
    <xf numFmtId="168" fontId="6" fillId="9" borderId="20" xfId="0" applyNumberFormat="1" applyFont="1" applyFill="1" applyBorder="1" applyAlignment="1">
      <alignment horizontal="center" vertical="center"/>
    </xf>
    <xf numFmtId="168" fontId="4" fillId="9" borderId="20" xfId="0" applyNumberFormat="1" applyFont="1" applyFill="1" applyBorder="1" applyAlignment="1">
      <alignment horizontal="center" vertical="center"/>
    </xf>
    <xf numFmtId="168" fontId="6" fillId="9" borderId="20" xfId="0" applyNumberFormat="1" applyFont="1" applyFill="1" applyBorder="1" applyAlignment="1">
      <alignment horizontal="right" vertical="center"/>
    </xf>
    <xf numFmtId="0" fontId="4" fillId="9" borderId="18" xfId="0" applyFont="1" applyFill="1" applyBorder="1" applyAlignment="1">
      <alignment horizontal="right" vertical="center"/>
    </xf>
    <xf numFmtId="168" fontId="4" fillId="9" borderId="20" xfId="2" applyNumberFormat="1" applyFont="1" applyFill="1" applyBorder="1" applyAlignment="1">
      <alignment horizontal="right" vertical="center"/>
    </xf>
    <xf numFmtId="168" fontId="4" fillId="9" borderId="20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171" fontId="4" fillId="9" borderId="20" xfId="2" applyNumberFormat="1" applyFont="1" applyFill="1" applyBorder="1" applyAlignment="1">
      <alignment horizontal="right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vertical="center" wrapText="1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174" fontId="4" fillId="0" borderId="18" xfId="1" applyNumberFormat="1" applyFont="1" applyBorder="1" applyAlignment="1">
      <alignment horizontal="center" vertical="center"/>
    </xf>
    <xf numFmtId="168" fontId="4" fillId="0" borderId="20" xfId="2" applyNumberFormat="1" applyFont="1" applyBorder="1" applyAlignment="1">
      <alignment horizontal="center" vertical="center"/>
    </xf>
    <xf numFmtId="168" fontId="4" fillId="0" borderId="20" xfId="0" applyNumberFormat="1" applyFont="1" applyBorder="1" applyAlignment="1">
      <alignment horizontal="center" vertical="center"/>
    </xf>
    <xf numFmtId="174" fontId="4" fillId="0" borderId="18" xfId="0" applyNumberFormat="1" applyFont="1" applyBorder="1" applyAlignment="1">
      <alignment horizontal="center" vertical="center"/>
    </xf>
    <xf numFmtId="168" fontId="4" fillId="0" borderId="20" xfId="2" applyNumberFormat="1" applyFont="1" applyBorder="1" applyAlignment="1">
      <alignment horizontal="right" vertical="center"/>
    </xf>
    <xf numFmtId="174" fontId="4" fillId="0" borderId="18" xfId="1" applyNumberFormat="1" applyFont="1" applyBorder="1" applyAlignment="1">
      <alignment horizontal="right" vertical="center"/>
    </xf>
    <xf numFmtId="169" fontId="4" fillId="0" borderId="20" xfId="2" applyNumberFormat="1" applyFont="1" applyBorder="1" applyAlignment="1">
      <alignment horizontal="right" vertical="center"/>
    </xf>
    <xf numFmtId="175" fontId="4" fillId="0" borderId="20" xfId="2" applyNumberFormat="1" applyFont="1" applyBorder="1" applyAlignment="1">
      <alignment horizontal="right" vertical="center"/>
    </xf>
    <xf numFmtId="176" fontId="4" fillId="0" borderId="18" xfId="0" applyNumberFormat="1" applyFont="1" applyBorder="1" applyAlignment="1">
      <alignment horizontal="center" vertical="center"/>
    </xf>
    <xf numFmtId="174" fontId="16" fillId="0" borderId="18" xfId="1" applyNumberFormat="1" applyFont="1" applyBorder="1" applyAlignment="1">
      <alignment horizontal="right" vertical="center"/>
    </xf>
    <xf numFmtId="174" fontId="2" fillId="0" borderId="18" xfId="1" applyNumberFormat="1" applyFont="1" applyBorder="1" applyAlignment="1">
      <alignment horizontal="center" vertical="center"/>
    </xf>
    <xf numFmtId="168" fontId="2" fillId="5" borderId="20" xfId="0" applyNumberFormat="1" applyFont="1" applyFill="1" applyBorder="1" applyAlignment="1">
      <alignment horizontal="center" vertical="center"/>
    </xf>
    <xf numFmtId="169" fontId="4" fillId="9" borderId="20" xfId="2" applyNumberFormat="1" applyFont="1" applyFill="1" applyBorder="1" applyAlignment="1">
      <alignment horizontal="right" vertical="center"/>
    </xf>
    <xf numFmtId="0" fontId="16" fillId="9" borderId="18" xfId="0" applyFont="1" applyFill="1" applyBorder="1" applyAlignment="1">
      <alignment horizontal="right" vertical="center"/>
    </xf>
    <xf numFmtId="175" fontId="4" fillId="9" borderId="20" xfId="2" applyNumberFormat="1" applyFont="1" applyFill="1" applyBorder="1" applyAlignment="1">
      <alignment horizontal="right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vertical="center" wrapText="1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174" fontId="4" fillId="0" borderId="21" xfId="1" applyNumberFormat="1" applyFont="1" applyBorder="1" applyAlignment="1">
      <alignment horizontal="center" vertical="center"/>
    </xf>
    <xf numFmtId="168" fontId="4" fillId="0" borderId="23" xfId="2" applyNumberFormat="1" applyFont="1" applyBorder="1" applyAlignment="1">
      <alignment horizontal="center" vertical="center"/>
    </xf>
    <xf numFmtId="168" fontId="4" fillId="0" borderId="23" xfId="0" applyNumberFormat="1" applyFont="1" applyBorder="1" applyAlignment="1">
      <alignment horizontal="center" vertical="center"/>
    </xf>
    <xf numFmtId="174" fontId="4" fillId="0" borderId="21" xfId="1" applyNumberFormat="1" applyFont="1" applyBorder="1" applyAlignment="1">
      <alignment horizontal="right" vertical="center"/>
    </xf>
    <xf numFmtId="169" fontId="4" fillId="0" borderId="23" xfId="2" applyNumberFormat="1" applyFont="1" applyBorder="1" applyAlignment="1">
      <alignment horizontal="right" vertical="center"/>
    </xf>
    <xf numFmtId="169" fontId="6" fillId="0" borderId="16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right" vertical="center"/>
    </xf>
    <xf numFmtId="0" fontId="6" fillId="0" borderId="24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174" fontId="6" fillId="0" borderId="16" xfId="1" applyNumberFormat="1" applyFont="1" applyBorder="1" applyAlignment="1">
      <alignment horizontal="center" vertical="center"/>
    </xf>
    <xf numFmtId="168" fontId="6" fillId="0" borderId="17" xfId="2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168" fontId="6" fillId="0" borderId="17" xfId="2" applyNumberFormat="1" applyFont="1" applyBorder="1" applyAlignment="1">
      <alignment horizontal="right" vertical="center"/>
    </xf>
    <xf numFmtId="177" fontId="6" fillId="0" borderId="16" xfId="0" applyNumberFormat="1" applyFont="1" applyBorder="1" applyAlignment="1">
      <alignment horizontal="right" vertical="center"/>
    </xf>
    <xf numFmtId="169" fontId="6" fillId="0" borderId="17" xfId="2" applyNumberFormat="1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25" xfId="0" applyFont="1" applyBorder="1" applyAlignment="1">
      <alignment horizontal="right" vertical="center"/>
    </xf>
    <xf numFmtId="177" fontId="17" fillId="0" borderId="16" xfId="0" applyNumberFormat="1" applyFont="1" applyBorder="1" applyAlignment="1">
      <alignment horizontal="right" vertical="center"/>
    </xf>
    <xf numFmtId="175" fontId="6" fillId="0" borderId="17" xfId="2" applyNumberFormat="1" applyFont="1" applyBorder="1" applyAlignment="1">
      <alignment horizontal="right" vertical="center"/>
    </xf>
    <xf numFmtId="0" fontId="9" fillId="0" borderId="0" xfId="6" applyFont="1" applyAlignment="1">
      <alignment vertical="center"/>
    </xf>
    <xf numFmtId="169" fontId="4" fillId="0" borderId="0" xfId="2" applyNumberFormat="1" applyFont="1" applyAlignment="1">
      <alignment horizontal="center" vertical="center"/>
    </xf>
    <xf numFmtId="169" fontId="6" fillId="6" borderId="2" xfId="2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4" fillId="10" borderId="12" xfId="0" applyFont="1" applyFill="1" applyBorder="1" applyAlignment="1">
      <alignment vertical="center"/>
    </xf>
    <xf numFmtId="0" fontId="6" fillId="10" borderId="12" xfId="0" applyFont="1" applyFill="1" applyBorder="1" applyAlignment="1">
      <alignment vertical="center"/>
    </xf>
    <xf numFmtId="169" fontId="4" fillId="10" borderId="12" xfId="2" applyNumberFormat="1" applyFont="1" applyFill="1" applyBorder="1" applyAlignment="1">
      <alignment horizontal="center" vertical="center"/>
    </xf>
    <xf numFmtId="0" fontId="4" fillId="10" borderId="12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10" fillId="0" borderId="26" xfId="0" applyFont="1" applyBorder="1" applyAlignment="1">
      <alignment vertical="center"/>
    </xf>
    <xf numFmtId="0" fontId="18" fillId="8" borderId="27" xfId="0" applyFont="1" applyFill="1" applyBorder="1" applyAlignment="1">
      <alignment vertical="center" wrapText="1"/>
    </xf>
    <xf numFmtId="169" fontId="4" fillId="0" borderId="27" xfId="2" applyNumberFormat="1" applyFont="1" applyBorder="1" applyAlignment="1">
      <alignment horizontal="center" vertical="center"/>
    </xf>
    <xf numFmtId="178" fontId="4" fillId="8" borderId="27" xfId="1" applyNumberFormat="1" applyFont="1" applyFill="1" applyBorder="1" applyAlignment="1">
      <alignment vertical="center"/>
    </xf>
    <xf numFmtId="174" fontId="4" fillId="0" borderId="27" xfId="0" applyNumberFormat="1" applyFont="1" applyBorder="1" applyAlignment="1">
      <alignment vertical="center"/>
    </xf>
    <xf numFmtId="175" fontId="4" fillId="0" borderId="27" xfId="2" applyNumberFormat="1" applyFont="1" applyBorder="1" applyAlignment="1">
      <alignment vertical="center"/>
    </xf>
    <xf numFmtId="169" fontId="4" fillId="0" borderId="27" xfId="2" applyNumberFormat="1" applyFont="1" applyBorder="1" applyAlignment="1">
      <alignment vertical="center"/>
    </xf>
    <xf numFmtId="177" fontId="4" fillId="0" borderId="27" xfId="0" applyNumberFormat="1" applyFont="1" applyBorder="1" applyAlignment="1">
      <alignment horizontal="center" vertical="center"/>
    </xf>
    <xf numFmtId="172" fontId="4" fillId="0" borderId="27" xfId="1" applyNumberFormat="1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174" fontId="4" fillId="0" borderId="27" xfId="1" applyNumberFormat="1" applyFont="1" applyBorder="1" applyAlignment="1">
      <alignment vertical="center" wrapText="1"/>
    </xf>
    <xf numFmtId="0" fontId="18" fillId="8" borderId="28" xfId="0" applyFont="1" applyFill="1" applyBorder="1" applyAlignment="1">
      <alignment vertical="center" wrapText="1"/>
    </xf>
    <xf numFmtId="177" fontId="4" fillId="0" borderId="28" xfId="0" applyNumberFormat="1" applyFont="1" applyBorder="1" applyAlignment="1">
      <alignment horizontal="center" vertical="center"/>
    </xf>
    <xf numFmtId="172" fontId="4" fillId="0" borderId="28" xfId="1" applyNumberFormat="1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169" fontId="4" fillId="0" borderId="28" xfId="2" applyNumberFormat="1" applyFont="1" applyBorder="1" applyAlignment="1">
      <alignment horizontal="center" vertical="center"/>
    </xf>
    <xf numFmtId="174" fontId="4" fillId="0" borderId="28" xfId="1" applyNumberFormat="1" applyFont="1" applyBorder="1" applyAlignment="1">
      <alignment vertical="center" wrapText="1"/>
    </xf>
    <xf numFmtId="174" fontId="4" fillId="0" borderId="26" xfId="1" applyNumberFormat="1" applyFont="1" applyBorder="1" applyAlignment="1">
      <alignment vertical="center" wrapText="1"/>
    </xf>
    <xf numFmtId="178" fontId="4" fillId="8" borderId="26" xfId="1" applyNumberFormat="1" applyFont="1" applyFill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18" fillId="5" borderId="29" xfId="0" applyFont="1" applyFill="1" applyBorder="1" applyAlignment="1">
      <alignment vertical="center" wrapText="1"/>
    </xf>
    <xf numFmtId="169" fontId="4" fillId="0" borderId="26" xfId="2" applyNumberFormat="1" applyFont="1" applyBorder="1" applyAlignment="1">
      <alignment horizontal="center" vertical="center"/>
    </xf>
    <xf numFmtId="178" fontId="4" fillId="0" borderId="26" xfId="1" applyNumberFormat="1" applyFont="1" applyBorder="1" applyAlignment="1">
      <alignment vertical="center"/>
    </xf>
    <xf numFmtId="174" fontId="4" fillId="0" borderId="26" xfId="0" applyNumberFormat="1" applyFont="1" applyBorder="1" applyAlignment="1">
      <alignment vertical="center"/>
    </xf>
    <xf numFmtId="175" fontId="4" fillId="0" borderId="26" xfId="2" applyNumberFormat="1" applyFont="1" applyBorder="1" applyAlignment="1">
      <alignment vertical="center"/>
    </xf>
    <xf numFmtId="169" fontId="4" fillId="0" borderId="26" xfId="2" applyNumberFormat="1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18" fillId="5" borderId="2" xfId="0" applyFont="1" applyFill="1" applyBorder="1" applyAlignment="1">
      <alignment vertical="center" wrapText="1"/>
    </xf>
    <xf numFmtId="169" fontId="4" fillId="0" borderId="2" xfId="2" applyNumberFormat="1" applyFont="1" applyBorder="1" applyAlignment="1">
      <alignment horizontal="center" vertical="center"/>
    </xf>
    <xf numFmtId="178" fontId="6" fillId="0" borderId="2" xfId="1" applyNumberFormat="1" applyFont="1" applyBorder="1" applyAlignment="1">
      <alignment vertical="center"/>
    </xf>
    <xf numFmtId="174" fontId="6" fillId="0" borderId="2" xfId="0" applyNumberFormat="1" applyFont="1" applyBorder="1" applyAlignment="1">
      <alignment vertical="center"/>
    </xf>
    <xf numFmtId="175" fontId="6" fillId="0" borderId="2" xfId="2" applyNumberFormat="1" applyFont="1" applyBorder="1" applyAlignment="1">
      <alignment vertical="center"/>
    </xf>
    <xf numFmtId="169" fontId="6" fillId="0" borderId="2" xfId="2" applyNumberFormat="1" applyFont="1" applyBorder="1" applyAlignment="1">
      <alignment vertical="center"/>
    </xf>
    <xf numFmtId="174" fontId="4" fillId="0" borderId="27" xfId="1" applyNumberFormat="1" applyFont="1" applyBorder="1" applyAlignment="1">
      <alignment horizontal="left" vertical="center" wrapText="1"/>
    </xf>
    <xf numFmtId="174" fontId="4" fillId="0" borderId="30" xfId="1" applyNumberFormat="1" applyFont="1" applyBorder="1" applyAlignment="1">
      <alignment vertical="center" wrapText="1"/>
    </xf>
    <xf numFmtId="177" fontId="4" fillId="0" borderId="30" xfId="0" applyNumberFormat="1" applyFont="1" applyBorder="1" applyAlignment="1">
      <alignment horizontal="center" vertical="center"/>
    </xf>
    <xf numFmtId="172" fontId="4" fillId="0" borderId="30" xfId="1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169" fontId="4" fillId="0" borderId="30" xfId="2" applyNumberFormat="1" applyFont="1" applyBorder="1" applyAlignment="1">
      <alignment horizontal="center" vertical="center"/>
    </xf>
    <xf numFmtId="0" fontId="0" fillId="5" borderId="0" xfId="0" applyFill="1"/>
    <xf numFmtId="169" fontId="6" fillId="0" borderId="2" xfId="2" applyNumberFormat="1" applyFont="1" applyBorder="1" applyAlignment="1">
      <alignment horizontal="center" vertical="center"/>
    </xf>
    <xf numFmtId="179" fontId="6" fillId="0" borderId="2" xfId="1" applyNumberFormat="1" applyFont="1" applyBorder="1" applyAlignment="1">
      <alignment vertical="center"/>
    </xf>
    <xf numFmtId="165" fontId="19" fillId="6" borderId="2" xfId="0" applyNumberFormat="1" applyFont="1" applyFill="1" applyBorder="1" applyAlignment="1">
      <alignment horizontal="center" vertical="center" textRotation="90" wrapText="1"/>
    </xf>
    <xf numFmtId="0" fontId="4" fillId="10" borderId="2" xfId="0" applyFont="1" applyFill="1" applyBorder="1" applyAlignment="1">
      <alignment vertical="center"/>
    </xf>
    <xf numFmtId="0" fontId="6" fillId="10" borderId="2" xfId="0" applyFont="1" applyFill="1" applyBorder="1" applyAlignment="1">
      <alignment vertical="center"/>
    </xf>
    <xf numFmtId="174" fontId="4" fillId="10" borderId="12" xfId="1" applyNumberFormat="1" applyFont="1" applyFill="1" applyBorder="1" applyAlignment="1">
      <alignment vertical="center"/>
    </xf>
    <xf numFmtId="169" fontId="10" fillId="0" borderId="12" xfId="2" applyNumberFormat="1" applyFont="1" applyBorder="1" applyAlignment="1">
      <alignment vertical="center"/>
    </xf>
    <xf numFmtId="174" fontId="4" fillId="0" borderId="12" xfId="1" applyNumberFormat="1" applyFont="1" applyBorder="1" applyAlignment="1">
      <alignment vertical="top"/>
    </xf>
    <xf numFmtId="0" fontId="4" fillId="5" borderId="13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vertical="center"/>
    </xf>
    <xf numFmtId="0" fontId="10" fillId="8" borderId="31" xfId="0" applyFont="1" applyFill="1" applyBorder="1" applyAlignment="1">
      <alignment vertical="center" wrapText="1"/>
    </xf>
    <xf numFmtId="169" fontId="4" fillId="5" borderId="2" xfId="2" applyNumberFormat="1" applyFont="1" applyFill="1" applyBorder="1" applyAlignment="1">
      <alignment vertical="center"/>
    </xf>
    <xf numFmtId="174" fontId="4" fillId="8" borderId="31" xfId="1" applyNumberFormat="1" applyFont="1" applyFill="1" applyBorder="1" applyAlignment="1">
      <alignment vertical="center"/>
    </xf>
    <xf numFmtId="177" fontId="4" fillId="8" borderId="31" xfId="0" applyNumberFormat="1" applyFont="1" applyFill="1" applyBorder="1" applyAlignment="1">
      <alignment vertical="center"/>
    </xf>
    <xf numFmtId="178" fontId="4" fillId="5" borderId="31" xfId="1" applyNumberFormat="1" applyFont="1" applyFill="1" applyBorder="1" applyAlignment="1">
      <alignment vertical="center"/>
    </xf>
    <xf numFmtId="174" fontId="4" fillId="0" borderId="31" xfId="0" applyNumberFormat="1" applyFont="1" applyBorder="1" applyAlignment="1">
      <alignment vertical="center"/>
    </xf>
    <xf numFmtId="175" fontId="4" fillId="0" borderId="31" xfId="2" applyNumberFormat="1" applyFont="1" applyBorder="1" applyAlignment="1">
      <alignment vertical="center"/>
    </xf>
    <xf numFmtId="169" fontId="4" fillId="0" borderId="31" xfId="2" applyNumberFormat="1" applyFont="1" applyBorder="1" applyAlignment="1">
      <alignment vertical="center"/>
    </xf>
    <xf numFmtId="177" fontId="4" fillId="0" borderId="31" xfId="0" applyNumberFormat="1" applyFont="1" applyBorder="1" applyAlignment="1">
      <alignment horizontal="center" vertical="center"/>
    </xf>
    <xf numFmtId="172" fontId="4" fillId="0" borderId="31" xfId="1" applyNumberFormat="1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169" fontId="4" fillId="0" borderId="31" xfId="2" applyNumberFormat="1" applyFont="1" applyBorder="1" applyAlignment="1">
      <alignment horizontal="center" vertical="center"/>
    </xf>
    <xf numFmtId="177" fontId="4" fillId="8" borderId="2" xfId="0" applyNumberFormat="1" applyFont="1" applyFill="1" applyBorder="1" applyAlignment="1">
      <alignment vertical="center"/>
    </xf>
    <xf numFmtId="177" fontId="4" fillId="8" borderId="31" xfId="0" applyNumberFormat="1" applyFont="1" applyFill="1" applyBorder="1" applyAlignment="1">
      <alignment horizontal="center" vertical="center"/>
    </xf>
    <xf numFmtId="174" fontId="4" fillId="0" borderId="31" xfId="1" applyNumberFormat="1" applyFont="1" applyBorder="1" applyAlignment="1">
      <alignment vertical="center" wrapText="1"/>
    </xf>
    <xf numFmtId="0" fontId="10" fillId="8" borderId="2" xfId="0" applyFont="1" applyFill="1" applyBorder="1" applyAlignment="1">
      <alignment vertical="center" wrapText="1"/>
    </xf>
    <xf numFmtId="174" fontId="4" fillId="8" borderId="2" xfId="1" applyNumberFormat="1" applyFont="1" applyFill="1" applyBorder="1" applyAlignment="1">
      <alignment vertical="center"/>
    </xf>
    <xf numFmtId="178" fontId="4" fillId="5" borderId="2" xfId="1" applyNumberFormat="1" applyFont="1" applyFill="1" applyBorder="1" applyAlignment="1">
      <alignment vertical="center"/>
    </xf>
    <xf numFmtId="174" fontId="4" fillId="0" borderId="2" xfId="0" applyNumberFormat="1" applyFont="1" applyBorder="1" applyAlignment="1">
      <alignment vertical="center"/>
    </xf>
    <xf numFmtId="175" fontId="4" fillId="0" borderId="2" xfId="2" applyNumberFormat="1" applyFont="1" applyBorder="1" applyAlignment="1">
      <alignment vertical="center"/>
    </xf>
    <xf numFmtId="169" fontId="4" fillId="0" borderId="2" xfId="2" applyNumberFormat="1" applyFont="1" applyBorder="1" applyAlignment="1">
      <alignment vertical="center"/>
    </xf>
    <xf numFmtId="177" fontId="4" fillId="0" borderId="2" xfId="0" applyNumberFormat="1" applyFont="1" applyBorder="1" applyAlignment="1">
      <alignment horizontal="center" vertical="center"/>
    </xf>
    <xf numFmtId="172" fontId="4" fillId="0" borderId="2" xfId="1" applyNumberFormat="1" applyFont="1" applyBorder="1" applyAlignment="1">
      <alignment horizontal="center" vertical="center"/>
    </xf>
    <xf numFmtId="174" fontId="4" fillId="0" borderId="2" xfId="1" applyNumberFormat="1" applyFont="1" applyBorder="1" applyAlignment="1">
      <alignment vertical="top"/>
    </xf>
    <xf numFmtId="174" fontId="4" fillId="0" borderId="2" xfId="1" applyNumberFormat="1" applyFont="1" applyBorder="1" applyAlignment="1">
      <alignment vertical="center" wrapText="1"/>
    </xf>
    <xf numFmtId="178" fontId="6" fillId="10" borderId="2" xfId="1" applyNumberFormat="1" applyFont="1" applyFill="1" applyBorder="1" applyAlignment="1">
      <alignment vertical="center"/>
    </xf>
    <xf numFmtId="169" fontId="6" fillId="10" borderId="2" xfId="2" applyNumberFormat="1" applyFont="1" applyFill="1" applyBorder="1" applyAlignment="1">
      <alignment vertical="center"/>
    </xf>
    <xf numFmtId="0" fontId="18" fillId="5" borderId="27" xfId="0" applyFont="1" applyFill="1" applyBorder="1" applyAlignment="1">
      <alignment vertical="center" wrapText="1"/>
    </xf>
    <xf numFmtId="178" fontId="4" fillId="0" borderId="27" xfId="1" applyNumberFormat="1" applyFont="1" applyBorder="1" applyAlignment="1">
      <alignment vertical="center"/>
    </xf>
    <xf numFmtId="0" fontId="18" fillId="5" borderId="28" xfId="0" applyFont="1" applyFill="1" applyBorder="1" applyAlignment="1">
      <alignment vertical="center" wrapText="1"/>
    </xf>
    <xf numFmtId="174" fontId="4" fillId="0" borderId="29" xfId="1" applyNumberFormat="1" applyFont="1" applyBorder="1" applyAlignment="1">
      <alignment vertical="center" wrapText="1"/>
    </xf>
    <xf numFmtId="0" fontId="18" fillId="5" borderId="26" xfId="0" applyFont="1" applyFill="1" applyBorder="1" applyAlignment="1">
      <alignment vertical="center" wrapText="1"/>
    </xf>
    <xf numFmtId="180" fontId="19" fillId="6" borderId="2" xfId="0" applyNumberFormat="1" applyFont="1" applyFill="1" applyBorder="1" applyAlignment="1">
      <alignment horizontal="center" vertical="center" textRotation="90" wrapText="1"/>
    </xf>
    <xf numFmtId="0" fontId="6" fillId="3" borderId="2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5" borderId="33" xfId="0" applyFont="1" applyFill="1" applyBorder="1" applyAlignment="1">
      <alignment vertical="center"/>
    </xf>
    <xf numFmtId="169" fontId="4" fillId="5" borderId="33" xfId="2" applyNumberFormat="1" applyFont="1" applyFill="1" applyBorder="1" applyAlignment="1">
      <alignment vertical="center"/>
    </xf>
    <xf numFmtId="169" fontId="4" fillId="5" borderId="35" xfId="2" applyNumberFormat="1" applyFont="1" applyFill="1" applyBorder="1" applyAlignment="1">
      <alignment vertical="center"/>
    </xf>
    <xf numFmtId="174" fontId="4" fillId="0" borderId="2" xfId="0" applyNumberFormat="1" applyFont="1" applyBorder="1" applyAlignment="1">
      <alignment horizontal="center" vertical="center"/>
    </xf>
    <xf numFmtId="174" fontId="4" fillId="0" borderId="12" xfId="0" applyNumberFormat="1" applyFont="1" applyBorder="1" applyAlignment="1">
      <alignment horizontal="center" vertical="center"/>
    </xf>
    <xf numFmtId="176" fontId="4" fillId="0" borderId="31" xfId="0" applyNumberFormat="1" applyFont="1" applyBorder="1" applyAlignment="1">
      <alignment vertical="center"/>
    </xf>
    <xf numFmtId="169" fontId="4" fillId="5" borderId="36" xfId="2" applyNumberFormat="1" applyFont="1" applyFill="1" applyBorder="1" applyAlignment="1">
      <alignment vertical="center"/>
    </xf>
    <xf numFmtId="0" fontId="0" fillId="0" borderId="26" xfId="0" applyBorder="1"/>
    <xf numFmtId="0" fontId="4" fillId="5" borderId="37" xfId="0" applyFont="1" applyFill="1" applyBorder="1" applyAlignment="1">
      <alignment vertical="center"/>
    </xf>
    <xf numFmtId="169" fontId="4" fillId="5" borderId="38" xfId="2" applyNumberFormat="1" applyFont="1" applyFill="1" applyBorder="1" applyAlignment="1">
      <alignment vertical="center"/>
    </xf>
    <xf numFmtId="169" fontId="4" fillId="5" borderId="39" xfId="2" applyNumberFormat="1" applyFont="1" applyFill="1" applyBorder="1" applyAlignment="1">
      <alignment vertical="center"/>
    </xf>
    <xf numFmtId="0" fontId="0" fillId="0" borderId="13" xfId="0" applyBorder="1"/>
    <xf numFmtId="174" fontId="4" fillId="8" borderId="2" xfId="0" applyNumberFormat="1" applyFont="1" applyFill="1" applyBorder="1" applyAlignment="1">
      <alignment vertical="center"/>
    </xf>
    <xf numFmtId="174" fontId="4" fillId="0" borderId="12" xfId="1" applyNumberFormat="1" applyFont="1" applyBorder="1" applyAlignment="1">
      <alignment vertical="top" wrapText="1"/>
    </xf>
    <xf numFmtId="0" fontId="10" fillId="10" borderId="27" xfId="0" applyFont="1" applyFill="1" applyBorder="1" applyAlignment="1">
      <alignment vertical="center" wrapText="1"/>
    </xf>
    <xf numFmtId="169" fontId="4" fillId="5" borderId="13" xfId="2" applyNumberFormat="1" applyFont="1" applyFill="1" applyBorder="1" applyAlignment="1">
      <alignment vertical="center"/>
    </xf>
    <xf numFmtId="174" fontId="4" fillId="0" borderId="27" xfId="1" applyNumberFormat="1" applyFont="1" applyBorder="1" applyAlignment="1">
      <alignment vertical="center"/>
    </xf>
    <xf numFmtId="177" fontId="4" fillId="0" borderId="27" xfId="0" applyNumberFormat="1" applyFont="1" applyBorder="1" applyAlignment="1">
      <alignment vertical="center"/>
    </xf>
    <xf numFmtId="0" fontId="10" fillId="10" borderId="2" xfId="0" applyFont="1" applyFill="1" applyBorder="1" applyAlignment="1">
      <alignment vertical="center" wrapText="1"/>
    </xf>
    <xf numFmtId="174" fontId="4" fillId="0" borderId="2" xfId="1" applyNumberFormat="1" applyFont="1" applyBorder="1" applyAlignment="1">
      <alignment vertical="center"/>
    </xf>
    <xf numFmtId="177" fontId="4" fillId="0" borderId="2" xfId="0" applyNumberFormat="1" applyFont="1" applyBorder="1" applyAlignment="1">
      <alignment vertical="center"/>
    </xf>
    <xf numFmtId="178" fontId="6" fillId="5" borderId="2" xfId="1" applyNumberFormat="1" applyFont="1" applyFill="1" applyBorder="1" applyAlignment="1">
      <alignment vertical="center"/>
    </xf>
    <xf numFmtId="178" fontId="6" fillId="10" borderId="2" xfId="0" applyNumberFormat="1" applyFont="1" applyFill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4" fillId="10" borderId="28" xfId="0" applyFont="1" applyFill="1" applyBorder="1" applyAlignment="1">
      <alignment horizontal="center" vertical="center"/>
    </xf>
    <xf numFmtId="0" fontId="6" fillId="10" borderId="28" xfId="0" applyFont="1" applyFill="1" applyBorder="1" applyAlignment="1">
      <alignment vertical="center"/>
    </xf>
    <xf numFmtId="165" fontId="4" fillId="10" borderId="28" xfId="0" applyNumberFormat="1" applyFont="1" applyFill="1" applyBorder="1" applyAlignment="1">
      <alignment vertical="center"/>
    </xf>
    <xf numFmtId="0" fontId="4" fillId="10" borderId="28" xfId="0" applyFont="1" applyFill="1" applyBorder="1" applyAlignment="1">
      <alignment vertical="center"/>
    </xf>
    <xf numFmtId="168" fontId="4" fillId="10" borderId="28" xfId="0" applyNumberFormat="1" applyFont="1" applyFill="1" applyBorder="1" applyAlignment="1">
      <alignment horizontal="center" vertical="center"/>
    </xf>
    <xf numFmtId="168" fontId="4" fillId="10" borderId="28" xfId="2" applyNumberFormat="1" applyFont="1" applyFill="1" applyBorder="1" applyAlignment="1">
      <alignment horizontal="center" vertical="center"/>
    </xf>
    <xf numFmtId="0" fontId="10" fillId="0" borderId="28" xfId="0" applyFont="1" applyBorder="1" applyAlignment="1">
      <alignment vertical="center"/>
    </xf>
    <xf numFmtId="172" fontId="4" fillId="4" borderId="28" xfId="0" applyNumberFormat="1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vertical="center"/>
    </xf>
    <xf numFmtId="165" fontId="4" fillId="4" borderId="28" xfId="0" applyNumberFormat="1" applyFont="1" applyFill="1" applyBorder="1" applyAlignment="1">
      <alignment vertical="center"/>
    </xf>
    <xf numFmtId="171" fontId="20" fillId="4" borderId="28" xfId="0" applyNumberFormat="1" applyFont="1" applyFill="1" applyBorder="1" applyAlignment="1">
      <alignment horizontal="center" vertical="center"/>
    </xf>
    <xf numFmtId="172" fontId="4" fillId="4" borderId="29" xfId="0" applyNumberFormat="1" applyFont="1" applyFill="1" applyBorder="1" applyAlignment="1">
      <alignment horizontal="center" vertical="center"/>
    </xf>
    <xf numFmtId="165" fontId="4" fillId="4" borderId="29" xfId="0" applyNumberFormat="1" applyFont="1" applyFill="1" applyBorder="1" applyAlignment="1">
      <alignment vertical="center"/>
    </xf>
    <xf numFmtId="0" fontId="4" fillId="4" borderId="29" xfId="0" applyFont="1" applyFill="1" applyBorder="1" applyAlignment="1">
      <alignment vertical="center"/>
    </xf>
    <xf numFmtId="168" fontId="4" fillId="4" borderId="29" xfId="2" applyNumberFormat="1" applyFont="1" applyFill="1" applyBorder="1" applyAlignment="1">
      <alignment horizontal="center" vertical="center"/>
    </xf>
    <xf numFmtId="0" fontId="10" fillId="0" borderId="29" xfId="0" applyFont="1" applyBorder="1" applyAlignment="1">
      <alignment vertical="center"/>
    </xf>
    <xf numFmtId="0" fontId="10" fillId="0" borderId="29" xfId="0" applyFont="1" applyBorder="1" applyAlignment="1">
      <alignment vertical="center" wrapText="1"/>
    </xf>
    <xf numFmtId="168" fontId="4" fillId="4" borderId="28" xfId="2" applyNumberFormat="1" applyFont="1" applyFill="1" applyBorder="1" applyAlignment="1">
      <alignment horizontal="center" vertical="center"/>
    </xf>
    <xf numFmtId="172" fontId="4" fillId="0" borderId="29" xfId="0" applyNumberFormat="1" applyFont="1" applyBorder="1" applyAlignment="1">
      <alignment horizontal="center" vertical="center"/>
    </xf>
    <xf numFmtId="172" fontId="4" fillId="5" borderId="28" xfId="0" applyNumberFormat="1" applyFont="1" applyFill="1" applyBorder="1" applyAlignment="1">
      <alignment horizontal="center" vertical="center"/>
    </xf>
    <xf numFmtId="0" fontId="4" fillId="8" borderId="29" xfId="0" applyFont="1" applyFill="1" applyBorder="1" applyAlignment="1">
      <alignment vertical="center"/>
    </xf>
    <xf numFmtId="165" fontId="4" fillId="8" borderId="29" xfId="0" applyNumberFormat="1" applyFont="1" applyFill="1" applyBorder="1" applyAlignment="1">
      <alignment vertical="center"/>
    </xf>
    <xf numFmtId="168" fontId="4" fillId="8" borderId="29" xfId="2" applyNumberFormat="1" applyFont="1" applyFill="1" applyBorder="1" applyAlignment="1">
      <alignment horizontal="center" vertical="center"/>
    </xf>
    <xf numFmtId="0" fontId="4" fillId="0" borderId="30" xfId="0" applyFont="1" applyBorder="1" applyAlignment="1">
      <alignment vertical="center"/>
    </xf>
    <xf numFmtId="165" fontId="4" fillId="5" borderId="30" xfId="0" applyNumberFormat="1" applyFont="1" applyFill="1" applyBorder="1" applyAlignment="1">
      <alignment vertical="center"/>
    </xf>
    <xf numFmtId="0" fontId="4" fillId="5" borderId="30" xfId="0" applyFont="1" applyFill="1" applyBorder="1" applyAlignment="1">
      <alignment vertical="center"/>
    </xf>
    <xf numFmtId="168" fontId="4" fillId="5" borderId="30" xfId="2" applyNumberFormat="1" applyFont="1" applyFill="1" applyBorder="1" applyAlignment="1">
      <alignment horizontal="center" vertical="center"/>
    </xf>
    <xf numFmtId="0" fontId="10" fillId="0" borderId="30" xfId="0" applyFont="1" applyBorder="1" applyAlignment="1">
      <alignment vertical="center"/>
    </xf>
    <xf numFmtId="0" fontId="6" fillId="4" borderId="40" xfId="0" applyFont="1" applyFill="1" applyBorder="1" applyAlignment="1">
      <alignment vertical="center"/>
    </xf>
    <xf numFmtId="0" fontId="0" fillId="4" borderId="9" xfId="0" applyFill="1" applyBorder="1"/>
    <xf numFmtId="166" fontId="6" fillId="4" borderId="15" xfId="0" applyNumberFormat="1" applyFont="1" applyFill="1" applyBorder="1" applyAlignment="1">
      <alignment horizontal="right" vertical="center"/>
    </xf>
    <xf numFmtId="168" fontId="9" fillId="0" borderId="2" xfId="2" applyNumberFormat="1" applyFont="1" applyBorder="1" applyAlignment="1">
      <alignment horizontal="center" vertical="center"/>
    </xf>
    <xf numFmtId="166" fontId="6" fillId="4" borderId="9" xfId="0" applyNumberFormat="1" applyFont="1" applyFill="1" applyBorder="1" applyAlignment="1">
      <alignment horizontal="right" vertical="center"/>
    </xf>
    <xf numFmtId="168" fontId="6" fillId="0" borderId="2" xfId="2" applyNumberFormat="1" applyFont="1" applyBorder="1" applyAlignment="1">
      <alignment horizontal="center" vertical="center"/>
    </xf>
    <xf numFmtId="0" fontId="21" fillId="0" borderId="3" xfId="0" applyFont="1" applyBorder="1"/>
    <xf numFmtId="0" fontId="0" fillId="0" borderId="11" xfId="0" applyBorder="1"/>
    <xf numFmtId="0" fontId="0" fillId="0" borderId="5" xfId="0" applyBorder="1"/>
    <xf numFmtId="181" fontId="0" fillId="11" borderId="0" xfId="0" applyNumberFormat="1" applyFill="1" applyProtection="1">
      <protection locked="0"/>
    </xf>
    <xf numFmtId="0" fontId="22" fillId="0" borderId="0" xfId="0" applyFont="1"/>
    <xf numFmtId="181" fontId="0" fillId="0" borderId="0" xfId="0" applyNumberFormat="1"/>
    <xf numFmtId="0" fontId="22" fillId="12" borderId="40" xfId="0" applyFont="1" applyFill="1" applyBorder="1"/>
    <xf numFmtId="0" fontId="22" fillId="12" borderId="9" xfId="0" applyFont="1" applyFill="1" applyBorder="1"/>
    <xf numFmtId="0" fontId="22" fillId="13" borderId="9" xfId="0" applyFont="1" applyFill="1" applyBorder="1"/>
    <xf numFmtId="169" fontId="25" fillId="0" borderId="0" xfId="2" applyNumberFormat="1"/>
    <xf numFmtId="0" fontId="0" fillId="14" borderId="0" xfId="0" applyFill="1"/>
    <xf numFmtId="169" fontId="25" fillId="15" borderId="0" xfId="2" applyNumberFormat="1" applyFill="1"/>
    <xf numFmtId="169" fontId="23" fillId="3" borderId="0" xfId="2" applyNumberFormat="1" applyFont="1" applyFill="1"/>
    <xf numFmtId="169" fontId="25" fillId="14" borderId="0" xfId="2" applyNumberFormat="1" applyFill="1"/>
    <xf numFmtId="0" fontId="22" fillId="0" borderId="40" xfId="0" applyFont="1" applyBorder="1"/>
    <xf numFmtId="0" fontId="24" fillId="0" borderId="9" xfId="0" applyFont="1" applyBorder="1"/>
    <xf numFmtId="0" fontId="0" fillId="14" borderId="9" xfId="0" applyFill="1" applyBorder="1"/>
    <xf numFmtId="169" fontId="25" fillId="0" borderId="9" xfId="2" applyNumberFormat="1" applyBorder="1"/>
    <xf numFmtId="169" fontId="24" fillId="0" borderId="9" xfId="2" applyNumberFormat="1" applyFont="1" applyBorder="1"/>
    <xf numFmtId="0" fontId="24" fillId="14" borderId="9" xfId="0" applyFont="1" applyFill="1" applyBorder="1"/>
    <xf numFmtId="169" fontId="24" fillId="5" borderId="9" xfId="2" applyNumberFormat="1" applyFont="1" applyFill="1" applyBorder="1"/>
    <xf numFmtId="169" fontId="0" fillId="0" borderId="0" xfId="0" applyNumberFormat="1"/>
    <xf numFmtId="0" fontId="22" fillId="12" borderId="0" xfId="0" applyFont="1" applyFill="1"/>
    <xf numFmtId="0" fontId="0" fillId="16" borderId="0" xfId="0" applyFill="1"/>
    <xf numFmtId="0" fontId="0" fillId="11" borderId="9" xfId="0" applyFill="1" applyBorder="1" applyProtection="1">
      <protection locked="0"/>
    </xf>
    <xf numFmtId="0" fontId="0" fillId="0" borderId="15" xfId="0" applyBorder="1"/>
    <xf numFmtId="0" fontId="0" fillId="0" borderId="2" xfId="0" applyBorder="1"/>
    <xf numFmtId="0" fontId="22" fillId="17" borderId="9" xfId="0" applyFont="1" applyFill="1" applyBorder="1"/>
    <xf numFmtId="0" fontId="0" fillId="16" borderId="9" xfId="0" applyFill="1" applyBorder="1"/>
    <xf numFmtId="181" fontId="0" fillId="11" borderId="9" xfId="0" applyNumberFormat="1" applyFill="1" applyBorder="1" applyProtection="1">
      <protection locked="0"/>
    </xf>
    <xf numFmtId="182" fontId="0" fillId="11" borderId="9" xfId="0" applyNumberFormat="1" applyFill="1" applyBorder="1" applyProtection="1">
      <protection locked="0"/>
    </xf>
    <xf numFmtId="0" fontId="0" fillId="18" borderId="9" xfId="0" applyFill="1" applyBorder="1" applyProtection="1">
      <protection locked="0"/>
    </xf>
    <xf numFmtId="0" fontId="22" fillId="16" borderId="0" xfId="0" applyFont="1" applyFill="1"/>
    <xf numFmtId="182" fontId="0" fillId="0" borderId="0" xfId="0" applyNumberFormat="1"/>
    <xf numFmtId="49" fontId="0" fillId="0" borderId="0" xfId="0" applyNumberFormat="1"/>
    <xf numFmtId="168" fontId="0" fillId="0" borderId="0" xfId="0" applyNumberFormat="1"/>
    <xf numFmtId="182" fontId="22" fillId="12" borderId="12" xfId="0" applyNumberFormat="1" applyFont="1" applyFill="1" applyBorder="1"/>
    <xf numFmtId="49" fontId="22" fillId="12" borderId="12" xfId="0" applyNumberFormat="1" applyFont="1" applyFill="1" applyBorder="1"/>
    <xf numFmtId="0" fontId="22" fillId="12" borderId="12" xfId="0" applyFont="1" applyFill="1" applyBorder="1"/>
    <xf numFmtId="168" fontId="22" fillId="12" borderId="12" xfId="0" applyNumberFormat="1" applyFont="1" applyFill="1" applyBorder="1"/>
    <xf numFmtId="182" fontId="0" fillId="3" borderId="9" xfId="0" applyNumberFormat="1" applyFill="1" applyBorder="1"/>
    <xf numFmtId="49" fontId="0" fillId="0" borderId="2" xfId="0" applyNumberFormat="1" applyBorder="1" applyAlignment="1">
      <alignment horizontal="center"/>
    </xf>
    <xf numFmtId="168" fontId="0" fillId="3" borderId="9" xfId="0" applyNumberFormat="1" applyFill="1" applyBorder="1"/>
    <xf numFmtId="49" fontId="0" fillId="3" borderId="9" xfId="0" applyNumberFormat="1" applyFill="1" applyBorder="1"/>
    <xf numFmtId="0" fontId="0" fillId="3" borderId="9" xfId="0" applyFill="1" applyBorder="1"/>
    <xf numFmtId="0" fontId="4" fillId="0" borderId="2" xfId="8" applyFont="1" applyBorder="1" applyAlignment="1">
      <alignment horizontal="left" vertical="center" indent="1"/>
    </xf>
    <xf numFmtId="0" fontId="13" fillId="0" borderId="0" xfId="0" applyFont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174" fontId="4" fillId="0" borderId="26" xfId="1" applyNumberFormat="1" applyFont="1" applyBorder="1" applyAlignment="1">
      <alignment horizontal="left" vertical="center" wrapText="1"/>
    </xf>
    <xf numFmtId="174" fontId="4" fillId="0" borderId="27" xfId="1" applyNumberFormat="1" applyFont="1" applyBorder="1" applyAlignment="1">
      <alignment horizontal="left" vertical="center" wrapText="1"/>
    </xf>
    <xf numFmtId="0" fontId="4" fillId="5" borderId="32" xfId="0" applyFont="1" applyFill="1" applyBorder="1" applyAlignment="1">
      <alignment horizontal="center" vertical="center"/>
    </xf>
    <xf numFmtId="0" fontId="2" fillId="5" borderId="34" xfId="0" applyFont="1" applyFill="1" applyBorder="1" applyAlignment="1">
      <alignment horizontal="left" vertical="center" wrapText="1"/>
    </xf>
    <xf numFmtId="177" fontId="4" fillId="8" borderId="2" xfId="0" applyNumberFormat="1" applyFont="1" applyFill="1" applyBorder="1" applyAlignment="1">
      <alignment vertical="center"/>
    </xf>
    <xf numFmtId="174" fontId="4" fillId="8" borderId="2" xfId="0" applyNumberFormat="1" applyFont="1" applyFill="1" applyBorder="1" applyAlignment="1">
      <alignment vertical="center"/>
    </xf>
  </cellXfs>
  <cellStyles count="10">
    <cellStyle name="Comma" xfId="1" builtinId="3"/>
    <cellStyle name="Currency" xfId="2" builtinId="4"/>
    <cellStyle name="Currency 3 2 2" xfId="3" xr:uid="{00000000-0005-0000-0000-000006000000}"/>
    <cellStyle name="Currency 9" xfId="4" xr:uid="{00000000-0005-0000-0000-000007000000}"/>
    <cellStyle name="Excel Built-in Input" xfId="9" xr:uid="{00000000-0005-0000-0000-00000C000000}"/>
    <cellStyle name="Normal" xfId="0" builtinId="0"/>
    <cellStyle name="Normal 10" xfId="5" xr:uid="{00000000-0005-0000-0000-000008000000}"/>
    <cellStyle name="Normal 2" xfId="6" xr:uid="{00000000-0005-0000-0000-000009000000}"/>
    <cellStyle name="Normal 2 16" xfId="7" xr:uid="{00000000-0005-0000-0000-00000A000000}"/>
    <cellStyle name="Normal 2 6 19 2" xfId="8" xr:uid="{00000000-0005-0000-0000-00000B000000}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7F7F7F"/>
      <rgbColor rgb="FFF2F2F2"/>
      <rgbColor rgb="FF993366"/>
      <rgbColor rgb="FFEBF1DE"/>
      <rgbColor rgb="FFDBEEF4"/>
      <rgbColor rgb="FF660066"/>
      <rgbColor rgb="FFEEF7FF"/>
      <rgbColor rgb="FF0066CC"/>
      <rgbColor rgb="FFC6D9F1"/>
      <rgbColor rgb="FF000080"/>
      <rgbColor rgb="FFFF00FF"/>
      <rgbColor rgb="FFFDEADA"/>
      <rgbColor rgb="FF00FFFF"/>
      <rgbColor rgb="FF800080"/>
      <rgbColor rgb="FF800000"/>
      <rgbColor rgb="FF008080"/>
      <rgbColor rgb="FF0000FF"/>
      <rgbColor rgb="FF00CCFF"/>
      <rgbColor rgb="FFEAF2FF"/>
      <rgbColor rgb="FFEEECE1"/>
      <rgbColor rgb="FFFFFF99"/>
      <rgbColor rgb="FFCCC1DA"/>
      <rgbColor rgb="FFFFC7CE"/>
      <rgbColor rgb="FFD9D9D9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A6A6A6"/>
      <rgbColor rgb="FF003366"/>
      <rgbColor rgb="FF339966"/>
      <rgbColor rgb="FF0D0D0D"/>
      <rgbColor rgb="FF333300"/>
      <rgbColor rgb="FF993300"/>
      <rgbColor rgb="FF993366"/>
      <rgbColor rgb="FF3F3F7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6480</xdr:colOff>
      <xdr:row>0</xdr:row>
      <xdr:rowOff>63360</xdr:rowOff>
    </xdr:from>
    <xdr:to>
      <xdr:col>2</xdr:col>
      <xdr:colOff>581400</xdr:colOff>
      <xdr:row>1</xdr:row>
      <xdr:rowOff>228240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05200" y="63360"/>
          <a:ext cx="1106280" cy="3934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B1:J47"/>
  <sheetViews>
    <sheetView zoomScaleNormal="100" workbookViewId="0">
      <selection activeCell="H14" sqref="H14"/>
    </sheetView>
  </sheetViews>
  <sheetFormatPr defaultColWidth="9.1796875" defaultRowHeight="12.5" x14ac:dyDescent="0.35"/>
  <cols>
    <col min="1" max="1" width="2.81640625" style="15" customWidth="1"/>
    <col min="2" max="2" width="7.54296875" style="15" customWidth="1"/>
    <col min="3" max="3" width="21.81640625" style="15" customWidth="1"/>
    <col min="4" max="6" width="18.81640625" style="15" customWidth="1"/>
    <col min="7" max="7" width="2" style="15" customWidth="1"/>
    <col min="8" max="8" width="14.1796875" style="15" customWidth="1"/>
    <col min="9" max="9" width="6.54296875" style="15" customWidth="1"/>
    <col min="10" max="11" width="14" style="15" customWidth="1"/>
    <col min="12" max="16384" width="9.1796875" style="15"/>
  </cols>
  <sheetData>
    <row r="1" spans="2:8" ht="18" customHeight="1" x14ac:dyDescent="0.25">
      <c r="B1" s="16"/>
      <c r="C1" s="16"/>
      <c r="D1" s="16"/>
      <c r="E1" s="16"/>
      <c r="F1" s="16"/>
    </row>
    <row r="2" spans="2:8" ht="18" customHeight="1" x14ac:dyDescent="0.35">
      <c r="B2" s="14" t="s">
        <v>0</v>
      </c>
      <c r="C2" s="14"/>
      <c r="D2" s="14"/>
      <c r="E2" s="14"/>
      <c r="F2" s="14"/>
    </row>
    <row r="3" spans="2:8" ht="6" customHeight="1" x14ac:dyDescent="0.25">
      <c r="B3" s="16"/>
      <c r="C3" s="16"/>
      <c r="D3" s="16"/>
      <c r="E3" s="16"/>
      <c r="F3" s="16"/>
    </row>
    <row r="4" spans="2:8" ht="17.25" customHeight="1" x14ac:dyDescent="0.35">
      <c r="B4" s="13" t="s">
        <v>1</v>
      </c>
      <c r="C4" s="13"/>
      <c r="D4" s="12" t="s">
        <v>2</v>
      </c>
      <c r="E4" s="12"/>
      <c r="F4" s="12"/>
    </row>
    <row r="5" spans="2:8" ht="17.25" customHeight="1" x14ac:dyDescent="0.35">
      <c r="B5" s="13" t="s">
        <v>3</v>
      </c>
      <c r="C5" s="13"/>
      <c r="D5" s="11" t="s">
        <v>4</v>
      </c>
      <c r="E5" s="11"/>
      <c r="F5" s="11"/>
    </row>
    <row r="6" spans="2:8" ht="17.25" customHeight="1" x14ac:dyDescent="0.35">
      <c r="B6" s="13" t="s">
        <v>5</v>
      </c>
      <c r="C6" s="13"/>
      <c r="D6" s="12" t="s">
        <v>6</v>
      </c>
      <c r="E6" s="12"/>
      <c r="F6" s="12"/>
    </row>
    <row r="7" spans="2:8" ht="17.25" customHeight="1" x14ac:dyDescent="0.35">
      <c r="B7" s="13" t="s">
        <v>7</v>
      </c>
      <c r="C7" s="13"/>
      <c r="D7" s="12" t="s">
        <v>8</v>
      </c>
      <c r="E7" s="12"/>
      <c r="F7" s="12"/>
    </row>
    <row r="8" spans="2:8" ht="17.25" customHeight="1" x14ac:dyDescent="0.35">
      <c r="B8" s="13" t="s">
        <v>9</v>
      </c>
      <c r="C8" s="13"/>
      <c r="D8" s="12">
        <v>3106883069</v>
      </c>
      <c r="E8" s="12"/>
      <c r="F8" s="12"/>
    </row>
    <row r="9" spans="2:8" ht="18.75" customHeight="1" x14ac:dyDescent="0.35">
      <c r="B9" s="13" t="s">
        <v>10</v>
      </c>
      <c r="C9" s="13"/>
      <c r="D9" s="10" t="s">
        <v>11</v>
      </c>
      <c r="E9" s="10"/>
      <c r="F9" s="10"/>
    </row>
    <row r="10" spans="2:8" ht="17.25" customHeight="1" x14ac:dyDescent="0.35">
      <c r="B10" s="13" t="s">
        <v>12</v>
      </c>
      <c r="C10" s="13"/>
      <c r="D10" s="12" t="s">
        <v>13</v>
      </c>
      <c r="E10" s="12"/>
      <c r="F10" s="12"/>
    </row>
    <row r="11" spans="2:8" ht="17.25" customHeight="1" x14ac:dyDescent="0.35">
      <c r="B11" s="13" t="s">
        <v>14</v>
      </c>
      <c r="C11" s="13"/>
      <c r="D11" s="12" t="s">
        <v>15</v>
      </c>
      <c r="E11" s="12"/>
      <c r="F11" s="12"/>
    </row>
    <row r="12" spans="2:8" ht="17.25" customHeight="1" x14ac:dyDescent="0.35">
      <c r="B12" s="9"/>
      <c r="C12" s="9"/>
      <c r="D12" s="17" t="s">
        <v>16</v>
      </c>
      <c r="E12" s="18"/>
      <c r="F12" s="19"/>
    </row>
    <row r="13" spans="2:8" ht="17.25" customHeight="1" x14ac:dyDescent="0.35">
      <c r="B13" s="13" t="s">
        <v>17</v>
      </c>
      <c r="C13" s="13"/>
      <c r="D13" s="20">
        <f>Payment_Summary!V19</f>
        <v>0</v>
      </c>
      <c r="E13" s="21"/>
      <c r="F13" s="22"/>
    </row>
    <row r="14" spans="2:8" ht="17.25" customHeight="1" x14ac:dyDescent="0.35">
      <c r="B14" s="13" t="s">
        <v>18</v>
      </c>
      <c r="C14" s="13"/>
      <c r="D14" s="20">
        <f>Payment_Summary!AC19</f>
        <v>174764.75</v>
      </c>
      <c r="E14" s="23"/>
      <c r="F14" s="24"/>
      <c r="H14" s="25">
        <f>D14-D13</f>
        <v>174764.75</v>
      </c>
    </row>
    <row r="15" spans="2:8" ht="18" customHeight="1" x14ac:dyDescent="0.3">
      <c r="B15" s="26"/>
      <c r="C15" s="26"/>
      <c r="D15" s="27"/>
      <c r="E15" s="28"/>
      <c r="F15" s="28"/>
    </row>
    <row r="16" spans="2:8" ht="18" customHeight="1" x14ac:dyDescent="0.35">
      <c r="B16" s="8" t="s">
        <v>19</v>
      </c>
      <c r="C16" s="8"/>
      <c r="D16" s="8"/>
      <c r="E16" s="8"/>
      <c r="F16" s="8"/>
    </row>
    <row r="17" spans="2:10" ht="18" customHeight="1" x14ac:dyDescent="0.35">
      <c r="B17" s="29">
        <v>1</v>
      </c>
      <c r="C17" s="13" t="s">
        <v>20</v>
      </c>
      <c r="D17" s="13"/>
      <c r="E17" s="13"/>
      <c r="F17" s="30">
        <f>Payment_Summary!G19</f>
        <v>2316587.1500000004</v>
      </c>
    </row>
    <row r="18" spans="2:10" ht="18" customHeight="1" x14ac:dyDescent="0.35">
      <c r="B18" s="29">
        <v>2</v>
      </c>
      <c r="C18" s="7" t="s">
        <v>21</v>
      </c>
      <c r="D18" s="7"/>
      <c r="E18" s="7"/>
      <c r="F18" s="30">
        <f>F19-F17</f>
        <v>599324.89999999991</v>
      </c>
    </row>
    <row r="19" spans="2:10" ht="18" customHeight="1" x14ac:dyDescent="0.35">
      <c r="B19" s="29">
        <v>3</v>
      </c>
      <c r="C19" s="7" t="s">
        <v>22</v>
      </c>
      <c r="D19" s="7"/>
      <c r="E19" s="7"/>
      <c r="F19" s="30">
        <f>Payment_Summary!S19</f>
        <v>2915912.0500000003</v>
      </c>
    </row>
    <row r="20" spans="2:10" ht="18" customHeight="1" x14ac:dyDescent="0.35">
      <c r="B20" s="29">
        <v>4</v>
      </c>
      <c r="C20" s="13" t="s">
        <v>23</v>
      </c>
      <c r="D20" s="13"/>
      <c r="E20" s="13"/>
      <c r="F20" s="31">
        <f>SUBTOTAL(9,F21:F29)</f>
        <v>1329178.48</v>
      </c>
      <c r="G20" s="25"/>
      <c r="H20" s="32" t="b">
        <f>TRUE()</f>
        <v>1</v>
      </c>
      <c r="I20" s="32"/>
    </row>
    <row r="21" spans="2:10" ht="18" customHeight="1" x14ac:dyDescent="0.35">
      <c r="B21" s="33"/>
      <c r="C21" s="6" t="s">
        <v>24</v>
      </c>
      <c r="D21" s="6"/>
      <c r="E21" s="6"/>
      <c r="F21" s="34">
        <v>41059.03</v>
      </c>
      <c r="H21" s="35"/>
      <c r="I21" s="35"/>
      <c r="J21" s="25"/>
    </row>
    <row r="22" spans="2:10" ht="18" customHeight="1" x14ac:dyDescent="0.35">
      <c r="B22" s="33"/>
      <c r="C22" s="6" t="s">
        <v>25</v>
      </c>
      <c r="D22" s="6"/>
      <c r="E22" s="6"/>
      <c r="F22" s="36">
        <v>652005.36</v>
      </c>
    </row>
    <row r="23" spans="2:10" ht="18" customHeight="1" x14ac:dyDescent="0.35">
      <c r="B23" s="33"/>
      <c r="C23" s="6" t="s">
        <v>26</v>
      </c>
      <c r="D23" s="6"/>
      <c r="E23" s="6"/>
      <c r="F23" s="37">
        <v>461349.34</v>
      </c>
    </row>
    <row r="24" spans="2:10" ht="18" customHeight="1" x14ac:dyDescent="0.35">
      <c r="B24" s="33"/>
      <c r="C24" s="6" t="s">
        <v>27</v>
      </c>
      <c r="D24" s="6"/>
      <c r="E24" s="6"/>
      <c r="F24" s="38">
        <f>D14</f>
        <v>174764.75</v>
      </c>
    </row>
    <row r="25" spans="2:10" ht="18" customHeight="1" x14ac:dyDescent="0.35">
      <c r="B25" s="33"/>
      <c r="C25" s="6"/>
      <c r="D25" s="6"/>
      <c r="E25" s="6"/>
      <c r="F25" s="36"/>
    </row>
    <row r="26" spans="2:10" ht="18" customHeight="1" x14ac:dyDescent="0.35">
      <c r="B26" s="33"/>
      <c r="C26" s="6"/>
      <c r="D26" s="6"/>
      <c r="E26" s="6"/>
      <c r="F26" s="36"/>
    </row>
    <row r="27" spans="2:10" ht="18" customHeight="1" x14ac:dyDescent="0.35">
      <c r="B27" s="33"/>
      <c r="C27" s="6"/>
      <c r="D27" s="6"/>
      <c r="E27" s="6"/>
      <c r="F27" s="36"/>
    </row>
    <row r="28" spans="2:10" ht="18" customHeight="1" x14ac:dyDescent="0.35">
      <c r="B28" s="33"/>
      <c r="C28" s="6"/>
      <c r="D28" s="6"/>
      <c r="E28" s="6"/>
      <c r="F28" s="36"/>
    </row>
    <row r="29" spans="2:10" ht="18" customHeight="1" x14ac:dyDescent="0.35">
      <c r="B29" s="33"/>
      <c r="C29" s="6"/>
      <c r="D29" s="6"/>
      <c r="E29" s="6"/>
      <c r="F29" s="36"/>
    </row>
    <row r="30" spans="2:10" ht="18" customHeight="1" x14ac:dyDescent="0.35">
      <c r="B30" s="29">
        <v>5</v>
      </c>
      <c r="C30" s="7" t="s">
        <v>28</v>
      </c>
      <c r="D30" s="7"/>
      <c r="E30" s="7"/>
      <c r="F30" s="39">
        <f>F19-F20</f>
        <v>1586733.5700000003</v>
      </c>
    </row>
    <row r="31" spans="2:10" ht="18" customHeight="1" x14ac:dyDescent="0.3">
      <c r="B31" s="40"/>
      <c r="C31" s="40"/>
      <c r="D31" s="41"/>
      <c r="E31" s="41"/>
      <c r="F31" s="41"/>
    </row>
    <row r="32" spans="2:10" ht="29.25" customHeight="1" x14ac:dyDescent="0.35">
      <c r="B32" s="5" t="s">
        <v>29</v>
      </c>
      <c r="C32" s="5"/>
      <c r="D32" s="5"/>
      <c r="E32" s="5"/>
      <c r="F32" s="5"/>
    </row>
    <row r="33" spans="2:6" ht="14.25" customHeight="1" x14ac:dyDescent="0.35">
      <c r="B33" s="4" t="s">
        <v>30</v>
      </c>
      <c r="C33" s="4"/>
      <c r="D33" s="4"/>
      <c r="E33" s="4"/>
      <c r="F33" s="4"/>
    </row>
    <row r="34" spans="2:6" ht="18" customHeight="1" x14ac:dyDescent="0.25">
      <c r="B34" s="42"/>
      <c r="C34" s="43"/>
      <c r="D34" s="44"/>
      <c r="E34" s="45"/>
      <c r="F34" s="44"/>
    </row>
    <row r="35" spans="2:6" ht="18" customHeight="1" x14ac:dyDescent="0.35">
      <c r="B35" s="3" t="s">
        <v>31</v>
      </c>
      <c r="C35" s="3"/>
      <c r="D35" s="46"/>
      <c r="E35" s="46"/>
      <c r="F35" s="47"/>
    </row>
    <row r="36" spans="2:6" ht="38.25" customHeight="1" x14ac:dyDescent="0.35">
      <c r="B36" s="2" t="s">
        <v>32</v>
      </c>
      <c r="C36" s="2"/>
      <c r="D36" s="2"/>
      <c r="E36" s="2"/>
      <c r="F36" s="2"/>
    </row>
    <row r="37" spans="2:6" ht="18" customHeight="1" x14ac:dyDescent="0.25">
      <c r="B37" s="42"/>
      <c r="C37" s="43"/>
      <c r="D37" s="44"/>
      <c r="E37" s="44"/>
      <c r="F37" s="44"/>
    </row>
    <row r="38" spans="2:6" ht="18" customHeight="1" x14ac:dyDescent="0.35">
      <c r="B38" s="3" t="s">
        <v>33</v>
      </c>
      <c r="C38" s="3"/>
      <c r="D38" s="46"/>
      <c r="E38" s="46"/>
      <c r="F38" s="47"/>
    </row>
    <row r="39" spans="2:6" ht="18" customHeight="1" x14ac:dyDescent="0.35">
      <c r="B39" s="4" t="s">
        <v>34</v>
      </c>
      <c r="C39" s="4"/>
      <c r="D39" s="4"/>
      <c r="E39" s="4"/>
      <c r="F39" s="4"/>
    </row>
    <row r="40" spans="2:6" ht="18" customHeight="1" x14ac:dyDescent="0.25">
      <c r="B40" s="42"/>
      <c r="C40" s="43"/>
      <c r="D40" s="44"/>
      <c r="E40" s="44"/>
      <c r="F40" s="44"/>
    </row>
    <row r="41" spans="2:6" ht="18" customHeight="1" x14ac:dyDescent="0.35">
      <c r="B41" s="1" t="s">
        <v>35</v>
      </c>
      <c r="C41" s="1"/>
      <c r="D41" s="48" t="s">
        <v>36</v>
      </c>
      <c r="E41" s="49" t="s">
        <v>37</v>
      </c>
      <c r="F41" s="48" t="s">
        <v>38</v>
      </c>
    </row>
    <row r="42" spans="2:6" ht="39.75" customHeight="1" x14ac:dyDescent="0.35">
      <c r="B42" s="335" t="s">
        <v>39</v>
      </c>
      <c r="C42" s="335"/>
      <c r="D42" s="50" t="s">
        <v>40</v>
      </c>
      <c r="E42" s="51"/>
      <c r="F42" s="52"/>
    </row>
    <row r="43" spans="2:6" ht="39.75" customHeight="1" x14ac:dyDescent="0.35">
      <c r="B43" s="335" t="s">
        <v>41</v>
      </c>
      <c r="C43" s="335"/>
      <c r="D43" s="53" t="s">
        <v>42</v>
      </c>
      <c r="E43" s="51"/>
      <c r="F43" s="52"/>
    </row>
    <row r="44" spans="2:6" ht="39.75" customHeight="1" x14ac:dyDescent="0.35">
      <c r="B44" s="335" t="s">
        <v>41</v>
      </c>
      <c r="C44" s="335"/>
      <c r="D44" s="53" t="s">
        <v>43</v>
      </c>
      <c r="E44" s="51"/>
      <c r="F44" s="52"/>
    </row>
    <row r="45" spans="2:6" ht="39.75" customHeight="1" x14ac:dyDescent="0.35">
      <c r="B45" s="335" t="s">
        <v>44</v>
      </c>
      <c r="C45" s="335"/>
      <c r="D45" s="53" t="s">
        <v>45</v>
      </c>
      <c r="E45" s="51"/>
      <c r="F45" s="52"/>
    </row>
    <row r="47" spans="2:6" ht="18" customHeight="1" x14ac:dyDescent="0.35">
      <c r="B47" s="336" t="s">
        <v>46</v>
      </c>
      <c r="C47" s="336"/>
      <c r="D47" s="336"/>
      <c r="E47" s="336"/>
      <c r="F47" s="336"/>
    </row>
  </sheetData>
  <mergeCells count="47">
    <mergeCell ref="B42:C42"/>
    <mergeCell ref="B43:C43"/>
    <mergeCell ref="B44:C44"/>
    <mergeCell ref="B45:C45"/>
    <mergeCell ref="B47:F47"/>
    <mergeCell ref="B35:C35"/>
    <mergeCell ref="B36:F36"/>
    <mergeCell ref="B38:C38"/>
    <mergeCell ref="B39:F39"/>
    <mergeCell ref="B41:C41"/>
    <mergeCell ref="C28:E28"/>
    <mergeCell ref="C29:E29"/>
    <mergeCell ref="C30:E30"/>
    <mergeCell ref="B32:F32"/>
    <mergeCell ref="B33:F33"/>
    <mergeCell ref="C23:E23"/>
    <mergeCell ref="C24:E24"/>
    <mergeCell ref="C25:E25"/>
    <mergeCell ref="C26:E26"/>
    <mergeCell ref="C27:E27"/>
    <mergeCell ref="C18:E18"/>
    <mergeCell ref="C19:E19"/>
    <mergeCell ref="C20:E20"/>
    <mergeCell ref="C21:E21"/>
    <mergeCell ref="C22:E22"/>
    <mergeCell ref="B12:C12"/>
    <mergeCell ref="B13:C13"/>
    <mergeCell ref="B14:C14"/>
    <mergeCell ref="B16:F16"/>
    <mergeCell ref="C17:E17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B2:F2"/>
    <mergeCell ref="B4:C4"/>
    <mergeCell ref="D4:F4"/>
    <mergeCell ref="B5:C5"/>
    <mergeCell ref="D5:F5"/>
  </mergeCells>
  <printOptions horizontalCentered="1"/>
  <pageMargins left="0.23611111111111099" right="3.9583333333333297E-2" top="0.74791666666666701" bottom="0.74791666666666701" header="0.511811023622047" footer="0.511811023622047"/>
  <pageSetup paperSize="9" orientation="portrait" horizontalDpi="300" verticalDpi="300"/>
  <rowBreaks count="2" manualBreakCount="2">
    <brk id="31" max="16383" man="1"/>
    <brk id="45" max="16383" man="1"/>
  </rowBreaks>
  <colBreaks count="2" manualBreakCount="2">
    <brk id="1" max="1048575" man="1"/>
    <brk id="3" max="1048575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00"/>
    <pageSetUpPr fitToPage="1"/>
  </sheetPr>
  <dimension ref="B1:AK20"/>
  <sheetViews>
    <sheetView tabSelected="1" zoomScale="85" zoomScaleNormal="85" workbookViewId="0">
      <pane xSplit="19" ySplit="11" topLeftCell="T12" activePane="bottomRight" state="frozen"/>
      <selection pane="topRight" activeCell="T1" sqref="T1"/>
      <selection pane="bottomLeft" activeCell="A12" sqref="A12"/>
      <selection pane="bottomRight" activeCell="AF30" sqref="AF30"/>
    </sheetView>
  </sheetViews>
  <sheetFormatPr defaultColWidth="9.1796875" defaultRowHeight="12.5" outlineLevelRow="1" outlineLevelCol="1" x14ac:dyDescent="0.35"/>
  <cols>
    <col min="1" max="1" width="2.1796875" style="15" customWidth="1"/>
    <col min="2" max="2" width="15.81640625" style="15" customWidth="1"/>
    <col min="3" max="3" width="31.1796875" style="15" customWidth="1"/>
    <col min="4" max="4" width="8.54296875" style="54" customWidth="1"/>
    <col min="5" max="5" width="7.81640625" style="54" customWidth="1"/>
    <col min="6" max="6" width="10.1796875" style="54" hidden="1" customWidth="1" outlineLevel="1"/>
    <col min="7" max="7" width="16.81640625" style="55" hidden="1" customWidth="1" outlineLevel="1"/>
    <col min="8" max="8" width="10.81640625" style="54" hidden="1" customWidth="1" outlineLevel="1"/>
    <col min="9" max="9" width="13.453125" style="55" hidden="1" customWidth="1" outlineLevel="1"/>
    <col min="10" max="10" width="10.81640625" style="54" hidden="1" customWidth="1" outlineLevel="1"/>
    <col min="11" max="15" width="13.453125" style="55" hidden="1" customWidth="1" outlineLevel="1"/>
    <col min="16" max="16" width="10.81640625" style="54" hidden="1" customWidth="1" outlineLevel="1"/>
    <col min="17" max="17" width="13.453125" style="55" hidden="1" customWidth="1" outlineLevel="1"/>
    <col min="18" max="18" width="10.1796875" style="54" customWidth="1" collapsed="1"/>
    <col min="19" max="19" width="17" style="55" customWidth="1"/>
    <col min="20" max="20" width="1.81640625" style="15" customWidth="1"/>
    <col min="21" max="21" width="8.54296875" style="54" customWidth="1"/>
    <col min="22" max="22" width="17.1796875" style="56" customWidth="1"/>
    <col min="23" max="23" width="9.54296875" style="54" customWidth="1" outlineLevel="1"/>
    <col min="24" max="24" width="15.1796875" style="55" customWidth="1" outlineLevel="1"/>
    <col min="25" max="25" width="9.54296875" style="54" customWidth="1" outlineLevel="1"/>
    <col min="26" max="26" width="15.1796875" style="55" customWidth="1" outlineLevel="1"/>
    <col min="27" max="27" width="2.1796875" style="54" customWidth="1"/>
    <col min="28" max="28" width="9.453125" style="54" customWidth="1" outlineLevel="1"/>
    <col min="29" max="29" width="15.1796875" style="56" customWidth="1" outlineLevel="1"/>
    <col min="30" max="30" width="9.54296875" style="54" customWidth="1" outlineLevel="1"/>
    <col min="31" max="31" width="15.1796875" style="56" customWidth="1" outlineLevel="1"/>
    <col min="32" max="32" width="11" style="54" customWidth="1" outlineLevel="1"/>
    <col min="33" max="33" width="15.1796875" style="56" customWidth="1" outlineLevel="1"/>
    <col min="34" max="34" width="1.81640625" style="54" customWidth="1" outlineLevel="1"/>
    <col min="35" max="35" width="9.1796875" style="54" outlineLevel="1"/>
    <col min="36" max="36" width="15.1796875" style="57" customWidth="1" outlineLevel="1"/>
    <col min="37" max="37" width="1.1796875" style="15" customWidth="1" outlineLevel="1"/>
    <col min="38" max="16384" width="9.1796875" style="15"/>
  </cols>
  <sheetData>
    <row r="1" spans="2:36" ht="18" customHeight="1" outlineLevel="1" x14ac:dyDescent="0.35">
      <c r="B1" s="58" t="s">
        <v>47</v>
      </c>
      <c r="V1" s="59"/>
    </row>
    <row r="2" spans="2:36" ht="18" customHeight="1" outlineLevel="1" x14ac:dyDescent="0.35"/>
    <row r="3" spans="2:36" ht="18" customHeight="1" outlineLevel="1" x14ac:dyDescent="0.35">
      <c r="B3" s="60" t="s">
        <v>48</v>
      </c>
      <c r="C3" s="15" t="str">
        <f>'Payment Claim'!D10</f>
        <v>PH-AA-0001</v>
      </c>
    </row>
    <row r="4" spans="2:36" ht="18" customHeight="1" outlineLevel="1" x14ac:dyDescent="0.35">
      <c r="B4" s="60" t="s">
        <v>49</v>
      </c>
      <c r="C4" s="15" t="str">
        <f>'Payment Claim'!D11</f>
        <v xml:space="preserve">PLANT HIRE SERVICES FOR BENTHIC REMOVAL </v>
      </c>
    </row>
    <row r="5" spans="2:36" ht="18" customHeight="1" outlineLevel="1" x14ac:dyDescent="0.35">
      <c r="B5" s="60" t="s">
        <v>50</v>
      </c>
      <c r="C5" s="15" t="str">
        <f>'Payment Claim'!D7</f>
        <v>Rirratjingu Enterprises Pty Ltd (ACN 56 639 548 137)</v>
      </c>
    </row>
    <row r="6" spans="2:36" ht="18" customHeight="1" outlineLevel="1" x14ac:dyDescent="0.35">
      <c r="B6" s="60" t="s">
        <v>51</v>
      </c>
      <c r="C6" s="61" t="str">
        <f>'Payment Claim'!D9</f>
        <v>Z-2264070.04.50.30.01</v>
      </c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</row>
    <row r="7" spans="2:36" ht="18" customHeight="1" outlineLevel="1" x14ac:dyDescent="0.35">
      <c r="B7" s="60" t="s">
        <v>52</v>
      </c>
      <c r="C7" s="63" t="str">
        <f>'Payment Claim'!D4</f>
        <v>PC004</v>
      </c>
      <c r="H7" s="64"/>
    </row>
    <row r="8" spans="2:36" ht="18" customHeight="1" outlineLevel="1" x14ac:dyDescent="0.35">
      <c r="B8" s="60" t="s">
        <v>53</v>
      </c>
      <c r="C8" s="65" t="str">
        <f>'Payment Claim'!D5</f>
        <v>06/12/25 - 31/01/25</v>
      </c>
    </row>
    <row r="9" spans="2:36" ht="18" customHeight="1" x14ac:dyDescent="0.35">
      <c r="U9" s="337" t="s">
        <v>54</v>
      </c>
      <c r="V9" s="337"/>
      <c r="W9" s="337"/>
      <c r="X9" s="337"/>
      <c r="Y9" s="337"/>
      <c r="Z9" s="337"/>
      <c r="AB9" s="338" t="s">
        <v>55</v>
      </c>
      <c r="AC9" s="338"/>
      <c r="AD9" s="338"/>
      <c r="AE9" s="338"/>
      <c r="AF9" s="338"/>
      <c r="AG9" s="338"/>
      <c r="AI9" s="338" t="s">
        <v>56</v>
      </c>
      <c r="AJ9" s="338"/>
    </row>
    <row r="10" spans="2:36" s="62" customFormat="1" ht="27.75" customHeight="1" x14ac:dyDescent="0.35">
      <c r="B10" s="68"/>
      <c r="C10" s="68"/>
      <c r="D10" s="69"/>
      <c r="E10" s="69"/>
      <c r="F10" s="339" t="s">
        <v>57</v>
      </c>
      <c r="G10" s="339"/>
      <c r="H10" s="340" t="s">
        <v>58</v>
      </c>
      <c r="I10" s="340"/>
      <c r="J10" s="340" t="s">
        <v>59</v>
      </c>
      <c r="K10" s="340"/>
      <c r="L10" s="340" t="s">
        <v>60</v>
      </c>
      <c r="M10" s="340"/>
      <c r="N10" s="340" t="s">
        <v>61</v>
      </c>
      <c r="O10" s="340"/>
      <c r="P10" s="340" t="s">
        <v>62</v>
      </c>
      <c r="Q10" s="340"/>
      <c r="R10" s="339" t="s">
        <v>63</v>
      </c>
      <c r="S10" s="339"/>
      <c r="U10" s="339" t="s">
        <v>64</v>
      </c>
      <c r="V10" s="339"/>
      <c r="W10" s="339" t="s">
        <v>65</v>
      </c>
      <c r="X10" s="339"/>
      <c r="Y10" s="339" t="s">
        <v>66</v>
      </c>
      <c r="Z10" s="339"/>
      <c r="AA10" s="72"/>
      <c r="AB10" s="341" t="s">
        <v>64</v>
      </c>
      <c r="AC10" s="341"/>
      <c r="AD10" s="341" t="s">
        <v>65</v>
      </c>
      <c r="AE10" s="341"/>
      <c r="AF10" s="341" t="s">
        <v>66</v>
      </c>
      <c r="AG10" s="341"/>
      <c r="AH10" s="72"/>
      <c r="AI10" s="338"/>
      <c r="AJ10" s="338"/>
    </row>
    <row r="11" spans="2:36" ht="24.75" customHeight="1" x14ac:dyDescent="0.35">
      <c r="B11" s="66" t="s">
        <v>67</v>
      </c>
      <c r="C11" s="66" t="s">
        <v>68</v>
      </c>
      <c r="D11" s="70" t="s">
        <v>69</v>
      </c>
      <c r="E11" s="66" t="s">
        <v>70</v>
      </c>
      <c r="F11" s="73" t="s">
        <v>71</v>
      </c>
      <c r="G11" s="74" t="s">
        <v>72</v>
      </c>
      <c r="H11" s="75" t="s">
        <v>71</v>
      </c>
      <c r="I11" s="76" t="s">
        <v>72</v>
      </c>
      <c r="J11" s="75" t="s">
        <v>71</v>
      </c>
      <c r="K11" s="76" t="s">
        <v>72</v>
      </c>
      <c r="L11" s="75" t="s">
        <v>71</v>
      </c>
      <c r="M11" s="76" t="s">
        <v>72</v>
      </c>
      <c r="N11" s="75" t="s">
        <v>71</v>
      </c>
      <c r="O11" s="76" t="s">
        <v>72</v>
      </c>
      <c r="P11" s="75" t="s">
        <v>71</v>
      </c>
      <c r="Q11" s="76" t="s">
        <v>72</v>
      </c>
      <c r="R11" s="73" t="s">
        <v>71</v>
      </c>
      <c r="S11" s="74" t="s">
        <v>72</v>
      </c>
      <c r="U11" s="66" t="s">
        <v>73</v>
      </c>
      <c r="V11" s="77" t="s">
        <v>74</v>
      </c>
      <c r="W11" s="66" t="s">
        <v>73</v>
      </c>
      <c r="X11" s="78" t="s">
        <v>75</v>
      </c>
      <c r="Y11" s="66" t="s">
        <v>73</v>
      </c>
      <c r="Z11" s="78" t="s">
        <v>76</v>
      </c>
      <c r="AB11" s="67" t="s">
        <v>73</v>
      </c>
      <c r="AC11" s="79" t="s">
        <v>77</v>
      </c>
      <c r="AD11" s="67" t="s">
        <v>73</v>
      </c>
      <c r="AE11" s="79" t="s">
        <v>78</v>
      </c>
      <c r="AF11" s="67" t="s">
        <v>73</v>
      </c>
      <c r="AG11" s="79" t="s">
        <v>79</v>
      </c>
      <c r="AI11" s="67" t="s">
        <v>73</v>
      </c>
      <c r="AJ11" s="80" t="s">
        <v>80</v>
      </c>
    </row>
    <row r="12" spans="2:36" ht="28.5" customHeight="1" x14ac:dyDescent="0.35">
      <c r="B12" s="81" t="s">
        <v>81</v>
      </c>
      <c r="C12" s="82" t="s">
        <v>82</v>
      </c>
      <c r="D12" s="83"/>
      <c r="E12" s="84"/>
      <c r="F12" s="85"/>
      <c r="G12" s="86">
        <f>SUBTOTAL(9,G13:G16)</f>
        <v>2316587.1500000004</v>
      </c>
      <c r="H12" s="85"/>
      <c r="I12" s="87"/>
      <c r="J12" s="85"/>
      <c r="K12" s="87"/>
      <c r="L12" s="85"/>
      <c r="M12" s="87"/>
      <c r="N12" s="85"/>
      <c r="O12" s="87"/>
      <c r="P12" s="85"/>
      <c r="Q12" s="87"/>
      <c r="R12" s="85"/>
      <c r="S12" s="88">
        <f>SUBTOTAL(9,S13:S16)</f>
        <v>2867960.0500000003</v>
      </c>
      <c r="U12" s="89"/>
      <c r="V12" s="90"/>
      <c r="W12" s="89"/>
      <c r="X12" s="91"/>
      <c r="Y12" s="89"/>
      <c r="Z12" s="91"/>
      <c r="AA12" s="92"/>
      <c r="AB12" s="89"/>
      <c r="AC12" s="90"/>
      <c r="AD12" s="89"/>
      <c r="AE12" s="91"/>
      <c r="AF12" s="89"/>
      <c r="AG12" s="91"/>
      <c r="AH12" s="92"/>
      <c r="AI12" s="89"/>
      <c r="AJ12" s="93"/>
    </row>
    <row r="13" spans="2:36" ht="28.5" customHeight="1" x14ac:dyDescent="0.35">
      <c r="B13" s="94" t="s">
        <v>83</v>
      </c>
      <c r="C13" s="95" t="s">
        <v>84</v>
      </c>
      <c r="D13" s="96" t="s">
        <v>85</v>
      </c>
      <c r="E13" s="97" t="s">
        <v>86</v>
      </c>
      <c r="F13" s="98">
        <v>222</v>
      </c>
      <c r="G13" s="99">
        <v>35451.9</v>
      </c>
      <c r="H13" s="98">
        <f>547-222</f>
        <v>325</v>
      </c>
      <c r="I13" s="100">
        <f>82014.8-G13</f>
        <v>46562.9</v>
      </c>
      <c r="J13" s="94"/>
      <c r="K13" s="100"/>
      <c r="L13" s="94"/>
      <c r="M13" s="100"/>
      <c r="N13" s="94"/>
      <c r="O13" s="100"/>
      <c r="P13" s="94"/>
      <c r="Q13" s="100"/>
      <c r="R13" s="101">
        <f t="shared" ref="R13:S16" si="0">+F13+H13+J13+L13+N13</f>
        <v>547</v>
      </c>
      <c r="S13" s="102">
        <f t="shared" si="0"/>
        <v>82014.8</v>
      </c>
      <c r="U13" s="103">
        <f t="shared" ref="U13:V16" si="1">Y13-W13</f>
        <v>0</v>
      </c>
      <c r="V13" s="104">
        <f t="shared" si="1"/>
        <v>0</v>
      </c>
      <c r="W13" s="103">
        <v>81</v>
      </c>
      <c r="X13" s="104">
        <v>25349.85</v>
      </c>
      <c r="Y13" s="103">
        <v>81</v>
      </c>
      <c r="Z13" s="104">
        <v>25349.85</v>
      </c>
      <c r="AA13" s="92"/>
      <c r="AB13" s="103">
        <f t="shared" ref="AB13:AC16" si="2">AF13-AD13</f>
        <v>0</v>
      </c>
      <c r="AC13" s="104">
        <f t="shared" si="2"/>
        <v>0</v>
      </c>
      <c r="AD13" s="103">
        <f>'A.2.1_Mob&amp;Demob Personnel'!I59</f>
        <v>81</v>
      </c>
      <c r="AE13" s="104">
        <f>'A.2.1_Mob&amp;Demob Personnel'!M59</f>
        <v>25349.850000000002</v>
      </c>
      <c r="AF13" s="103">
        <f>'A.2.1_Mob&amp;Demob Personnel'!J59</f>
        <v>81</v>
      </c>
      <c r="AG13" s="104">
        <f>'A.2.1_Mob&amp;Demob Personnel'!N59</f>
        <v>25349.850000000002</v>
      </c>
      <c r="AH13" s="92"/>
      <c r="AI13" s="103">
        <f t="shared" ref="AI13:AJ16" si="3">AB13-U13</f>
        <v>0</v>
      </c>
      <c r="AJ13" s="105">
        <f t="shared" si="3"/>
        <v>0</v>
      </c>
    </row>
    <row r="14" spans="2:36" ht="28.5" customHeight="1" x14ac:dyDescent="0.35">
      <c r="B14" s="94" t="s">
        <v>87</v>
      </c>
      <c r="C14" s="95" t="s">
        <v>88</v>
      </c>
      <c r="D14" s="96" t="s">
        <v>85</v>
      </c>
      <c r="E14" s="97" t="s">
        <v>71</v>
      </c>
      <c r="F14" s="98">
        <v>6048</v>
      </c>
      <c r="G14" s="99">
        <v>698544</v>
      </c>
      <c r="H14" s="106">
        <f>9603-F14</f>
        <v>3555</v>
      </c>
      <c r="I14" s="100">
        <f>1203354-G14</f>
        <v>504810</v>
      </c>
      <c r="J14" s="94"/>
      <c r="K14" s="100"/>
      <c r="L14" s="94"/>
      <c r="M14" s="100"/>
      <c r="N14" s="94"/>
      <c r="O14" s="100"/>
      <c r="P14" s="94"/>
      <c r="Q14" s="100"/>
      <c r="R14" s="101">
        <f t="shared" si="0"/>
        <v>9603</v>
      </c>
      <c r="S14" s="102">
        <f t="shared" si="0"/>
        <v>1203354</v>
      </c>
      <c r="U14" s="103">
        <f t="shared" si="1"/>
        <v>0</v>
      </c>
      <c r="V14" s="104">
        <f t="shared" si="1"/>
        <v>0</v>
      </c>
      <c r="W14" s="103">
        <v>3400.5</v>
      </c>
      <c r="X14" s="104">
        <v>396110</v>
      </c>
      <c r="Y14" s="103">
        <v>3400.5</v>
      </c>
      <c r="Z14" s="104">
        <v>396110</v>
      </c>
      <c r="AA14" s="92"/>
      <c r="AB14" s="103">
        <f t="shared" si="2"/>
        <v>1470</v>
      </c>
      <c r="AC14" s="104">
        <f t="shared" si="2"/>
        <v>174753.75</v>
      </c>
      <c r="AD14" s="103">
        <f>'A.2.3 Labour Costs'!BN20</f>
        <v>3135</v>
      </c>
      <c r="AE14" s="104">
        <f>'A.2.3 Labour Costs'!BR20</f>
        <v>365444.75</v>
      </c>
      <c r="AF14" s="103">
        <f>'A.2.3 Labour Costs'!BO20</f>
        <v>4605</v>
      </c>
      <c r="AG14" s="104">
        <f>'A.2.3 Labour Costs'!BS20</f>
        <v>540198.5</v>
      </c>
      <c r="AH14" s="92"/>
      <c r="AI14" s="107">
        <f t="shared" si="3"/>
        <v>1470</v>
      </c>
      <c r="AJ14" s="105">
        <f t="shared" si="3"/>
        <v>174753.75</v>
      </c>
    </row>
    <row r="15" spans="2:36" ht="28.5" customHeight="1" x14ac:dyDescent="0.35">
      <c r="B15" s="94" t="s">
        <v>89</v>
      </c>
      <c r="C15" s="95" t="s">
        <v>90</v>
      </c>
      <c r="D15" s="96" t="s">
        <v>85</v>
      </c>
      <c r="E15" s="97" t="s">
        <v>86</v>
      </c>
      <c r="F15" s="98">
        <v>0</v>
      </c>
      <c r="G15" s="99">
        <v>412206.65</v>
      </c>
      <c r="H15" s="108">
        <v>0</v>
      </c>
      <c r="I15" s="109">
        <v>0</v>
      </c>
      <c r="J15" s="94"/>
      <c r="K15" s="100"/>
      <c r="L15" s="94"/>
      <c r="M15" s="100"/>
      <c r="N15" s="94"/>
      <c r="O15" s="100"/>
      <c r="P15" s="94"/>
      <c r="Q15" s="100"/>
      <c r="R15" s="101">
        <f t="shared" si="0"/>
        <v>0</v>
      </c>
      <c r="S15" s="102">
        <f t="shared" si="0"/>
        <v>412206.65</v>
      </c>
      <c r="U15" s="103">
        <f t="shared" si="1"/>
        <v>0</v>
      </c>
      <c r="V15" s="104">
        <f t="shared" si="1"/>
        <v>0</v>
      </c>
      <c r="W15" s="103">
        <v>9</v>
      </c>
      <c r="X15" s="104">
        <v>348397.3</v>
      </c>
      <c r="Y15" s="103">
        <v>9</v>
      </c>
      <c r="Z15" s="104">
        <v>348397.3</v>
      </c>
      <c r="AA15" s="92"/>
      <c r="AB15" s="103">
        <f t="shared" si="2"/>
        <v>0</v>
      </c>
      <c r="AC15" s="104">
        <f t="shared" si="2"/>
        <v>0</v>
      </c>
      <c r="AD15" s="103">
        <f>'A.2.4_Mob&amp;Demob PE'!I36</f>
        <v>9</v>
      </c>
      <c r="AE15" s="104">
        <f>'A.2.4_Mob&amp;Demob PE'!M36</f>
        <v>348397.29999999993</v>
      </c>
      <c r="AF15" s="103">
        <f>'A.2.4_Mob&amp;Demob PE'!J36</f>
        <v>9</v>
      </c>
      <c r="AG15" s="104">
        <f>'A.2.4_Mob&amp;Demob PE'!N36</f>
        <v>348397.29999999993</v>
      </c>
      <c r="AH15" s="92"/>
      <c r="AI15" s="103">
        <f t="shared" si="3"/>
        <v>0</v>
      </c>
      <c r="AJ15" s="105">
        <f t="shared" si="3"/>
        <v>0</v>
      </c>
    </row>
    <row r="16" spans="2:36" ht="28.5" customHeight="1" x14ac:dyDescent="0.35">
      <c r="B16" s="94" t="s">
        <v>91</v>
      </c>
      <c r="C16" s="95" t="s">
        <v>92</v>
      </c>
      <c r="D16" s="96" t="s">
        <v>85</v>
      </c>
      <c r="E16" s="97" t="s">
        <v>93</v>
      </c>
      <c r="F16" s="98">
        <v>0</v>
      </c>
      <c r="G16" s="99">
        <v>1170384.6000000001</v>
      </c>
      <c r="H16" s="98">
        <v>0</v>
      </c>
      <c r="I16" s="100">
        <v>0</v>
      </c>
      <c r="J16" s="94"/>
      <c r="K16" s="100"/>
      <c r="L16" s="94"/>
      <c r="M16" s="100"/>
      <c r="N16" s="94"/>
      <c r="O16" s="100"/>
      <c r="P16" s="94"/>
      <c r="Q16" s="100"/>
      <c r="R16" s="101">
        <f t="shared" si="0"/>
        <v>0</v>
      </c>
      <c r="S16" s="102">
        <f t="shared" si="0"/>
        <v>1170384.6000000001</v>
      </c>
      <c r="U16" s="103">
        <f t="shared" si="1"/>
        <v>0</v>
      </c>
      <c r="V16" s="104">
        <f t="shared" si="1"/>
        <v>0</v>
      </c>
      <c r="W16" s="103">
        <v>3779.5</v>
      </c>
      <c r="X16" s="104">
        <v>354159.63</v>
      </c>
      <c r="Y16" s="103">
        <v>3779.5</v>
      </c>
      <c r="Z16" s="104">
        <v>354159.63</v>
      </c>
      <c r="AA16" s="92"/>
      <c r="AB16" s="103">
        <f t="shared" si="2"/>
        <v>9.0999999999994543</v>
      </c>
      <c r="AC16" s="104">
        <f t="shared" si="2"/>
        <v>11</v>
      </c>
      <c r="AD16" s="103">
        <f>'A.2.5 PE'!AU41</f>
        <v>100.70000000000076</v>
      </c>
      <c r="AE16" s="104">
        <f>'A.2.5 PE'!AY41</f>
        <v>83</v>
      </c>
      <c r="AF16" s="103">
        <f>'A.2.5 PE'!AV41</f>
        <v>109.80000000000021</v>
      </c>
      <c r="AG16" s="104">
        <f>'A.2.5 PE'!AZ41</f>
        <v>94</v>
      </c>
      <c r="AH16" s="92"/>
      <c r="AI16" s="107">
        <f t="shared" si="3"/>
        <v>9.0999999999994543</v>
      </c>
      <c r="AJ16" s="105">
        <f t="shared" si="3"/>
        <v>11</v>
      </c>
    </row>
    <row r="17" spans="2:36" ht="28.5" customHeight="1" x14ac:dyDescent="0.35">
      <c r="B17" s="81" t="s">
        <v>94</v>
      </c>
      <c r="C17" s="82" t="s">
        <v>95</v>
      </c>
      <c r="D17" s="83"/>
      <c r="E17" s="84"/>
      <c r="F17" s="85"/>
      <c r="G17" s="86"/>
      <c r="H17" s="85"/>
      <c r="I17" s="87"/>
      <c r="J17" s="85"/>
      <c r="K17" s="87"/>
      <c r="L17" s="85"/>
      <c r="M17" s="87"/>
      <c r="N17" s="85"/>
      <c r="O17" s="87"/>
      <c r="P17" s="85"/>
      <c r="Q17" s="87"/>
      <c r="R17" s="85"/>
      <c r="S17" s="88"/>
      <c r="U17" s="89"/>
      <c r="V17" s="110"/>
      <c r="W17" s="89"/>
      <c r="X17" s="110"/>
      <c r="Y17" s="89"/>
      <c r="Z17" s="110"/>
      <c r="AA17" s="92"/>
      <c r="AB17" s="89"/>
      <c r="AC17" s="110"/>
      <c r="AD17" s="89"/>
      <c r="AE17" s="110"/>
      <c r="AF17" s="89"/>
      <c r="AG17" s="110"/>
      <c r="AH17" s="92"/>
      <c r="AI17" s="111"/>
      <c r="AJ17" s="112"/>
    </row>
    <row r="18" spans="2:36" ht="28.5" customHeight="1" x14ac:dyDescent="0.35">
      <c r="B18" s="113" t="s">
        <v>96</v>
      </c>
      <c r="C18" s="114" t="s">
        <v>97</v>
      </c>
      <c r="D18" s="115" t="s">
        <v>98</v>
      </c>
      <c r="E18" s="116" t="s">
        <v>86</v>
      </c>
      <c r="F18" s="117"/>
      <c r="G18" s="118"/>
      <c r="H18" s="98">
        <v>0</v>
      </c>
      <c r="I18" s="119">
        <v>47952</v>
      </c>
      <c r="J18" s="113"/>
      <c r="K18" s="119"/>
      <c r="L18" s="113"/>
      <c r="M18" s="119"/>
      <c r="N18" s="113"/>
      <c r="O18" s="119"/>
      <c r="P18" s="113"/>
      <c r="Q18" s="119"/>
      <c r="R18" s="101">
        <f>+F18+H18+J18+L18+N18</f>
        <v>0</v>
      </c>
      <c r="S18" s="102">
        <f>+G18+I18+K18+M18+O18</f>
        <v>47952</v>
      </c>
      <c r="U18" s="103">
        <f>Y18-W18</f>
        <v>0</v>
      </c>
      <c r="V18" s="104">
        <f>Z18-X18</f>
        <v>0</v>
      </c>
      <c r="W18" s="120">
        <v>0</v>
      </c>
      <c r="X18" s="121">
        <v>30396.95</v>
      </c>
      <c r="Y18" s="120">
        <v>0</v>
      </c>
      <c r="Z18" s="121">
        <v>30396.95</v>
      </c>
      <c r="AA18" s="92"/>
      <c r="AB18" s="120">
        <v>0</v>
      </c>
      <c r="AC18" s="104">
        <f>AG18-AE18</f>
        <v>0</v>
      </c>
      <c r="AD18" s="120">
        <f>AF18-AB18</f>
        <v>0</v>
      </c>
      <c r="AE18" s="121">
        <f>A.4_Purchase!J24-A.4_Purchase!J22</f>
        <v>30396.95</v>
      </c>
      <c r="AF18" s="120">
        <v>0</v>
      </c>
      <c r="AG18" s="121">
        <f>A.4_Purchase!J24</f>
        <v>30396.95</v>
      </c>
      <c r="AH18" s="92"/>
      <c r="AI18" s="107">
        <v>0</v>
      </c>
      <c r="AJ18" s="105">
        <f>AC18-V18</f>
        <v>0</v>
      </c>
    </row>
    <row r="19" spans="2:36" s="60" customFormat="1" ht="26.25" customHeight="1" x14ac:dyDescent="0.35">
      <c r="B19" s="122"/>
      <c r="C19" s="123" t="s">
        <v>99</v>
      </c>
      <c r="D19" s="124"/>
      <c r="E19" s="125"/>
      <c r="F19" s="126">
        <f>SUBTOTAL(9,F12:F16)</f>
        <v>6270</v>
      </c>
      <c r="G19" s="127">
        <f>SUBTOTAL(9,G12:G18)</f>
        <v>2316587.1500000004</v>
      </c>
      <c r="H19" s="128"/>
      <c r="I19" s="127">
        <f>SUBTOTAL(9,I12:I18)</f>
        <v>599324.9</v>
      </c>
      <c r="J19" s="128"/>
      <c r="K19" s="127">
        <f>SUBTOTAL(9,K12:K18)</f>
        <v>0</v>
      </c>
      <c r="L19" s="128"/>
      <c r="M19" s="127">
        <f>SUBTOTAL(9,M12:M18)</f>
        <v>0</v>
      </c>
      <c r="N19" s="128"/>
      <c r="O19" s="127">
        <f>SUBTOTAL(9,O12:O18)</f>
        <v>0</v>
      </c>
      <c r="P19" s="128"/>
      <c r="Q19" s="127">
        <f>SUBTOTAL(9,Q12:Q18)</f>
        <v>0</v>
      </c>
      <c r="R19" s="126">
        <f>SUBTOTAL(9,R12:R18)</f>
        <v>10150</v>
      </c>
      <c r="S19" s="129">
        <f>SUBTOTAL(9,S12:S18)</f>
        <v>2915912.0500000003</v>
      </c>
      <c r="U19" s="130">
        <f t="shared" ref="U19:Z19" si="4">SUBTOTAL(9,U12:U18)</f>
        <v>0</v>
      </c>
      <c r="V19" s="131">
        <f t="shared" si="4"/>
        <v>0</v>
      </c>
      <c r="W19" s="130">
        <f t="shared" si="4"/>
        <v>7270</v>
      </c>
      <c r="X19" s="131">
        <f t="shared" si="4"/>
        <v>1154413.7299999997</v>
      </c>
      <c r="Y19" s="130">
        <f t="shared" si="4"/>
        <v>7270</v>
      </c>
      <c r="Z19" s="131">
        <f t="shared" si="4"/>
        <v>1154413.7299999997</v>
      </c>
      <c r="AA19" s="132"/>
      <c r="AB19" s="130">
        <f t="shared" ref="AB19:AG19" si="5">SUBTOTAL(9,AB12:AB18)</f>
        <v>1479.0999999999995</v>
      </c>
      <c r="AC19" s="131">
        <f t="shared" si="5"/>
        <v>174764.75</v>
      </c>
      <c r="AD19" s="130">
        <f t="shared" si="5"/>
        <v>3325.7000000000007</v>
      </c>
      <c r="AE19" s="131">
        <f t="shared" si="5"/>
        <v>769671.84999999986</v>
      </c>
      <c r="AF19" s="130">
        <f t="shared" si="5"/>
        <v>4804.8</v>
      </c>
      <c r="AG19" s="131">
        <f t="shared" si="5"/>
        <v>944436.59999999986</v>
      </c>
      <c r="AH19" s="133"/>
      <c r="AI19" s="134">
        <f>SUBTOTAL(9,AI12:AI18)</f>
        <v>1479.0999999999995</v>
      </c>
      <c r="AJ19" s="135">
        <f>SUBTOTAL(9,AJ12:AJ18)</f>
        <v>174764.75</v>
      </c>
    </row>
    <row r="20" spans="2:36" ht="11.25" customHeight="1" x14ac:dyDescent="0.35">
      <c r="C20" s="35"/>
      <c r="AE20" s="55"/>
      <c r="AG20" s="55"/>
    </row>
  </sheetData>
  <mergeCells count="16">
    <mergeCell ref="U9:Z9"/>
    <mergeCell ref="AB9:AG9"/>
    <mergeCell ref="AI9:AJ10"/>
    <mergeCell ref="F10:G10"/>
    <mergeCell ref="H10:I10"/>
    <mergeCell ref="J10:K10"/>
    <mergeCell ref="L10:M10"/>
    <mergeCell ref="N10:O10"/>
    <mergeCell ref="P10:Q10"/>
    <mergeCell ref="R10:S10"/>
    <mergeCell ref="U10:V10"/>
    <mergeCell ref="W10:X10"/>
    <mergeCell ref="Y10:Z10"/>
    <mergeCell ref="AB10:AC10"/>
    <mergeCell ref="AD10:AE10"/>
    <mergeCell ref="AF10:AG10"/>
  </mergeCells>
  <pageMargins left="0.25" right="0.25" top="0.75" bottom="0.75" header="0.511811023622047" footer="0.511811023622047"/>
  <pageSetup paperSize="8" orientation="landscape" horizontalDpi="300" verticalDpi="300"/>
  <colBreaks count="1" manualBreakCount="1">
    <brk id="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B1:AL59"/>
  <sheetViews>
    <sheetView zoomScaleNormal="100" workbookViewId="0">
      <selection activeCell="N62" sqref="N62"/>
    </sheetView>
  </sheetViews>
  <sheetFormatPr defaultColWidth="8.6328125" defaultRowHeight="14.5" outlineLevelCol="1" x14ac:dyDescent="0.35"/>
  <cols>
    <col min="1" max="1" width="3.81640625" customWidth="1"/>
    <col min="2" max="2" width="16.1796875" customWidth="1"/>
    <col min="3" max="3" width="30.81640625" customWidth="1"/>
    <col min="4" max="4" width="14.26953125" customWidth="1"/>
    <col min="5" max="5" width="10.26953125" customWidth="1"/>
    <col min="6" max="6" width="5.453125" customWidth="1"/>
    <col min="7" max="7" width="3" customWidth="1"/>
    <col min="9" max="9" width="10.54296875" customWidth="1"/>
    <col min="10" max="10" width="10.81640625" customWidth="1"/>
    <col min="11" max="11" width="2.7265625" customWidth="1"/>
    <col min="12" max="12" width="10.26953125" customWidth="1"/>
    <col min="13" max="14" width="11.26953125" customWidth="1"/>
    <col min="15" max="15" width="3.1796875" customWidth="1"/>
    <col min="16" max="25" width="9.1796875" hidden="1" customWidth="1" outlineLevel="1"/>
    <col min="26" max="26" width="3.1796875" hidden="1" customWidth="1" outlineLevel="1"/>
    <col min="27" max="29" width="10.26953125" hidden="1" customWidth="1" outlineLevel="1"/>
    <col min="30" max="36" width="9.1796875" hidden="1" customWidth="1" outlineLevel="1"/>
    <col min="37" max="37" width="19.54296875" customWidth="1" collapsed="1"/>
    <col min="38" max="38" width="21" customWidth="1"/>
  </cols>
  <sheetData>
    <row r="1" spans="2:38" x14ac:dyDescent="0.35">
      <c r="B1" s="60" t="s">
        <v>48</v>
      </c>
      <c r="C1" s="15" t="str">
        <f>Payment_Summary!C3</f>
        <v>PH-AA-0001</v>
      </c>
    </row>
    <row r="2" spans="2:38" x14ac:dyDescent="0.35">
      <c r="B2" s="60" t="s">
        <v>49</v>
      </c>
      <c r="C2" s="15" t="str">
        <f>Payment_Summary!C4</f>
        <v xml:space="preserve">PLANT HIRE SERVICES FOR BENTHIC REMOVAL </v>
      </c>
    </row>
    <row r="3" spans="2:38" x14ac:dyDescent="0.35">
      <c r="B3" s="60" t="s">
        <v>50</v>
      </c>
      <c r="C3" s="15" t="str">
        <f>Payment_Summary!C5</f>
        <v>Rirratjingu Enterprises Pty Ltd (ACN 56 639 548 137)</v>
      </c>
    </row>
    <row r="4" spans="2:38" x14ac:dyDescent="0.35">
      <c r="B4" s="60" t="s">
        <v>51</v>
      </c>
      <c r="C4" s="15" t="str">
        <f>Payment_Summary!C6</f>
        <v>Z-2264070.04.50.30.01</v>
      </c>
    </row>
    <row r="5" spans="2:38" x14ac:dyDescent="0.35">
      <c r="B5" s="60" t="s">
        <v>52</v>
      </c>
      <c r="C5" s="15" t="str">
        <f>Payment_Summary!C7</f>
        <v>PC004</v>
      </c>
    </row>
    <row r="6" spans="2:38" x14ac:dyDescent="0.35">
      <c r="B6" s="60" t="s">
        <v>53</v>
      </c>
      <c r="C6" s="15" t="str">
        <f>Payment_Summary!C8</f>
        <v>06/12/25 - 31/01/25</v>
      </c>
    </row>
    <row r="8" spans="2:38" x14ac:dyDescent="0.35">
      <c r="B8" s="136" t="s">
        <v>100</v>
      </c>
      <c r="C8" s="15"/>
      <c r="D8" s="15"/>
      <c r="E8" s="137"/>
      <c r="F8" s="137"/>
      <c r="G8" s="15"/>
      <c r="H8" s="15"/>
      <c r="I8" s="15"/>
      <c r="J8" s="15"/>
      <c r="K8" s="15"/>
      <c r="L8" s="15"/>
      <c r="M8" s="15"/>
      <c r="N8" s="15"/>
      <c r="O8" s="15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15"/>
    </row>
    <row r="9" spans="2:38" ht="46.25" customHeight="1" x14ac:dyDescent="0.35">
      <c r="B9" s="15"/>
      <c r="C9" s="15"/>
      <c r="D9" s="15"/>
      <c r="E9" s="137"/>
      <c r="F9" s="137"/>
      <c r="G9" s="15"/>
      <c r="H9" s="15"/>
      <c r="I9" s="15"/>
      <c r="J9" s="15"/>
      <c r="K9" s="15"/>
      <c r="L9" s="15"/>
      <c r="M9" s="15"/>
      <c r="N9" s="15"/>
      <c r="O9" s="15"/>
      <c r="P9" s="340" t="s">
        <v>101</v>
      </c>
      <c r="Q9" s="340"/>
      <c r="R9" s="340"/>
      <c r="S9" s="340"/>
      <c r="T9" s="340"/>
      <c r="U9" s="340"/>
      <c r="V9" s="340"/>
      <c r="W9" s="340"/>
      <c r="X9" s="340"/>
      <c r="Y9" s="340"/>
      <c r="Z9" s="54"/>
      <c r="AA9" s="340" t="s">
        <v>102</v>
      </c>
      <c r="AB9" s="340"/>
      <c r="AC9" s="340"/>
      <c r="AD9" s="340"/>
      <c r="AE9" s="340"/>
      <c r="AF9" s="340"/>
      <c r="AG9" s="340"/>
      <c r="AH9" s="340"/>
      <c r="AI9" s="340"/>
      <c r="AJ9" s="340"/>
      <c r="AK9" s="15"/>
    </row>
    <row r="10" spans="2:38" ht="39" customHeight="1" x14ac:dyDescent="0.35">
      <c r="B10" s="66" t="s">
        <v>103</v>
      </c>
      <c r="C10" s="66" t="s">
        <v>104</v>
      </c>
      <c r="D10" s="70" t="s">
        <v>105</v>
      </c>
      <c r="E10" s="138" t="s">
        <v>106</v>
      </c>
      <c r="F10" s="138" t="s">
        <v>107</v>
      </c>
      <c r="G10" s="15"/>
      <c r="H10" s="70" t="s">
        <v>108</v>
      </c>
      <c r="I10" s="70" t="s">
        <v>109</v>
      </c>
      <c r="J10" s="70" t="s">
        <v>110</v>
      </c>
      <c r="K10" s="15"/>
      <c r="L10" s="70" t="s">
        <v>111</v>
      </c>
      <c r="M10" s="70" t="s">
        <v>112</v>
      </c>
      <c r="N10" s="70" t="s">
        <v>113</v>
      </c>
      <c r="O10" s="15"/>
      <c r="P10" s="71" t="s">
        <v>114</v>
      </c>
      <c r="Q10" s="71" t="s">
        <v>115</v>
      </c>
      <c r="R10" s="71" t="s">
        <v>116</v>
      </c>
      <c r="S10" s="71" t="s">
        <v>2</v>
      </c>
      <c r="T10" s="71" t="s">
        <v>117</v>
      </c>
      <c r="U10" s="71" t="s">
        <v>118</v>
      </c>
      <c r="V10" s="71" t="s">
        <v>119</v>
      </c>
      <c r="W10" s="71" t="s">
        <v>120</v>
      </c>
      <c r="X10" s="71" t="s">
        <v>121</v>
      </c>
      <c r="Y10" s="71" t="s">
        <v>122</v>
      </c>
      <c r="Z10" s="54"/>
      <c r="AA10" s="71" t="str">
        <f t="shared" ref="AA10:AJ10" si="0">P10</f>
        <v>PC001</v>
      </c>
      <c r="AB10" s="71" t="str">
        <f t="shared" si="0"/>
        <v>PC002</v>
      </c>
      <c r="AC10" s="71" t="str">
        <f t="shared" si="0"/>
        <v>PC003</v>
      </c>
      <c r="AD10" s="71" t="str">
        <f t="shared" si="0"/>
        <v>PC004</v>
      </c>
      <c r="AE10" s="71" t="str">
        <f t="shared" si="0"/>
        <v>PC005</v>
      </c>
      <c r="AF10" s="71" t="str">
        <f t="shared" si="0"/>
        <v>PC006</v>
      </c>
      <c r="AG10" s="71" t="str">
        <f t="shared" si="0"/>
        <v>PC007</v>
      </c>
      <c r="AH10" s="71" t="str">
        <f t="shared" si="0"/>
        <v>PC008</v>
      </c>
      <c r="AI10" s="71" t="str">
        <f t="shared" si="0"/>
        <v>PC009</v>
      </c>
      <c r="AJ10" s="71" t="str">
        <f t="shared" si="0"/>
        <v>PC010</v>
      </c>
      <c r="AK10" s="139" t="s">
        <v>123</v>
      </c>
      <c r="AL10" s="139" t="s">
        <v>124</v>
      </c>
    </row>
    <row r="11" spans="2:38" x14ac:dyDescent="0.35">
      <c r="B11" s="140"/>
      <c r="C11" s="141" t="s">
        <v>125</v>
      </c>
      <c r="D11" s="140"/>
      <c r="E11" s="142"/>
      <c r="F11" s="142"/>
      <c r="G11" s="15"/>
      <c r="H11" s="140"/>
      <c r="I11" s="140"/>
      <c r="J11" s="140"/>
      <c r="K11" s="15"/>
      <c r="L11" s="140"/>
      <c r="M11" s="140"/>
      <c r="N11" s="140"/>
      <c r="O11" s="15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54"/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  <c r="AK11" s="143"/>
      <c r="AL11" s="143"/>
    </row>
    <row r="12" spans="2:38" ht="25.5" customHeight="1" x14ac:dyDescent="0.35">
      <c r="B12" s="144" t="s">
        <v>126</v>
      </c>
      <c r="C12" s="145" t="s">
        <v>127</v>
      </c>
      <c r="D12" s="146" t="s">
        <v>128</v>
      </c>
      <c r="E12" s="147">
        <v>115.5</v>
      </c>
      <c r="F12" s="147" t="s">
        <v>129</v>
      </c>
      <c r="G12" s="15"/>
      <c r="H12" s="148"/>
      <c r="I12" s="149">
        <f t="shared" ref="I12:I20" si="1">SUM(P12:Y12)</f>
        <v>4</v>
      </c>
      <c r="J12" s="149">
        <f t="shared" ref="J12:J20" si="2">H12+I12</f>
        <v>4</v>
      </c>
      <c r="K12" s="15"/>
      <c r="L12" s="150">
        <f t="shared" ref="L12:L20" si="3">H12*E12</f>
        <v>0</v>
      </c>
      <c r="M12" s="151">
        <f t="shared" ref="M12:M20" si="4">SUM(AA12:AJ12)</f>
        <v>462</v>
      </c>
      <c r="N12" s="151">
        <f t="shared" ref="N12:N20" si="5">+L12+M12</f>
        <v>462</v>
      </c>
      <c r="O12" s="15"/>
      <c r="P12" s="152">
        <v>4</v>
      </c>
      <c r="Q12" s="152"/>
      <c r="R12" s="152"/>
      <c r="S12" s="152"/>
      <c r="T12" s="152"/>
      <c r="U12" s="153"/>
      <c r="V12" s="154"/>
      <c r="W12" s="154"/>
      <c r="X12" s="154"/>
      <c r="Y12" s="154"/>
      <c r="Z12" s="54"/>
      <c r="AA12" s="147">
        <v>462</v>
      </c>
      <c r="AB12" s="147"/>
      <c r="AC12" s="147"/>
      <c r="AD12" s="147"/>
      <c r="AE12" s="147"/>
      <c r="AF12" s="147"/>
      <c r="AG12" s="147"/>
      <c r="AH12" s="147"/>
      <c r="AI12" s="147"/>
      <c r="AJ12" s="147"/>
      <c r="AK12" s="155"/>
      <c r="AL12" s="342" t="s">
        <v>130</v>
      </c>
    </row>
    <row r="13" spans="2:38" x14ac:dyDescent="0.35">
      <c r="B13" s="144" t="s">
        <v>126</v>
      </c>
      <c r="C13" s="145" t="s">
        <v>127</v>
      </c>
      <c r="D13" s="156" t="s">
        <v>131</v>
      </c>
      <c r="E13" s="147">
        <v>115.5</v>
      </c>
      <c r="F13" s="147" t="s">
        <v>129</v>
      </c>
      <c r="G13" s="15"/>
      <c r="H13" s="148"/>
      <c r="I13" s="149">
        <f t="shared" si="1"/>
        <v>4</v>
      </c>
      <c r="J13" s="149">
        <f t="shared" si="2"/>
        <v>4</v>
      </c>
      <c r="K13" s="15"/>
      <c r="L13" s="150">
        <f t="shared" si="3"/>
        <v>0</v>
      </c>
      <c r="M13" s="151">
        <f t="shared" si="4"/>
        <v>462</v>
      </c>
      <c r="N13" s="151">
        <f t="shared" si="5"/>
        <v>462</v>
      </c>
      <c r="O13" s="15"/>
      <c r="P13" s="157">
        <v>4</v>
      </c>
      <c r="Q13" s="157"/>
      <c r="R13" s="157"/>
      <c r="S13" s="157"/>
      <c r="T13" s="157"/>
      <c r="U13" s="158"/>
      <c r="V13" s="159"/>
      <c r="W13" s="159"/>
      <c r="X13" s="159"/>
      <c r="Y13" s="159"/>
      <c r="Z13" s="54"/>
      <c r="AA13" s="160">
        <v>462</v>
      </c>
      <c r="AB13" s="160"/>
      <c r="AC13" s="160"/>
      <c r="AD13" s="160"/>
      <c r="AE13" s="160"/>
      <c r="AF13" s="160"/>
      <c r="AG13" s="160"/>
      <c r="AH13" s="160"/>
      <c r="AI13" s="160"/>
      <c r="AJ13" s="160"/>
      <c r="AK13" s="161"/>
      <c r="AL13" s="342"/>
    </row>
    <row r="14" spans="2:38" ht="19.5" customHeight="1" x14ac:dyDescent="0.35">
      <c r="B14" s="144" t="s">
        <v>126</v>
      </c>
      <c r="C14" s="145" t="s">
        <v>127</v>
      </c>
      <c r="D14" s="156" t="s">
        <v>132</v>
      </c>
      <c r="E14" s="147">
        <v>115.5</v>
      </c>
      <c r="F14" s="147" t="s">
        <v>129</v>
      </c>
      <c r="G14" s="15"/>
      <c r="H14" s="148"/>
      <c r="I14" s="149">
        <f t="shared" si="1"/>
        <v>4</v>
      </c>
      <c r="J14" s="149">
        <f t="shared" si="2"/>
        <v>4</v>
      </c>
      <c r="K14" s="15"/>
      <c r="L14" s="150">
        <f t="shared" si="3"/>
        <v>0</v>
      </c>
      <c r="M14" s="151">
        <f t="shared" si="4"/>
        <v>462</v>
      </c>
      <c r="N14" s="151">
        <f t="shared" si="5"/>
        <v>462</v>
      </c>
      <c r="O14" s="15"/>
      <c r="P14" s="157">
        <v>4</v>
      </c>
      <c r="Q14" s="157"/>
      <c r="R14" s="157"/>
      <c r="S14" s="157"/>
      <c r="T14" s="157"/>
      <c r="U14" s="158"/>
      <c r="V14" s="159"/>
      <c r="W14" s="159"/>
      <c r="X14" s="159"/>
      <c r="Y14" s="159"/>
      <c r="Z14" s="54"/>
      <c r="AA14" s="160">
        <v>462</v>
      </c>
      <c r="AB14" s="160"/>
      <c r="AC14" s="160"/>
      <c r="AD14" s="160"/>
      <c r="AE14" s="160"/>
      <c r="AF14" s="160"/>
      <c r="AG14" s="160"/>
      <c r="AH14" s="160"/>
      <c r="AI14" s="160"/>
      <c r="AJ14" s="160"/>
      <c r="AK14" s="161"/>
      <c r="AL14" s="342"/>
    </row>
    <row r="15" spans="2:38" x14ac:dyDescent="0.35">
      <c r="B15" s="144" t="s">
        <v>126</v>
      </c>
      <c r="C15" s="145" t="s">
        <v>127</v>
      </c>
      <c r="D15" s="156" t="s">
        <v>133</v>
      </c>
      <c r="E15" s="147">
        <v>115.5</v>
      </c>
      <c r="F15" s="147" t="s">
        <v>129</v>
      </c>
      <c r="G15" s="15"/>
      <c r="H15" s="148"/>
      <c r="I15" s="149">
        <f t="shared" si="1"/>
        <v>4</v>
      </c>
      <c r="J15" s="149">
        <f t="shared" si="2"/>
        <v>4</v>
      </c>
      <c r="K15" s="15"/>
      <c r="L15" s="150">
        <f t="shared" si="3"/>
        <v>0</v>
      </c>
      <c r="M15" s="151">
        <f t="shared" si="4"/>
        <v>462</v>
      </c>
      <c r="N15" s="151">
        <f t="shared" si="5"/>
        <v>462</v>
      </c>
      <c r="O15" s="15"/>
      <c r="P15" s="157">
        <v>4</v>
      </c>
      <c r="Q15" s="157"/>
      <c r="R15" s="157"/>
      <c r="S15" s="157"/>
      <c r="T15" s="157"/>
      <c r="U15" s="158"/>
      <c r="V15" s="159"/>
      <c r="W15" s="159"/>
      <c r="X15" s="159"/>
      <c r="Y15" s="159"/>
      <c r="Z15" s="54"/>
      <c r="AA15" s="160">
        <v>462</v>
      </c>
      <c r="AB15" s="160"/>
      <c r="AC15" s="160"/>
      <c r="AD15" s="160"/>
      <c r="AE15" s="160"/>
      <c r="AF15" s="160"/>
      <c r="AG15" s="160"/>
      <c r="AH15" s="160"/>
      <c r="AI15" s="160"/>
      <c r="AJ15" s="160"/>
      <c r="AK15" s="161"/>
      <c r="AL15" s="342"/>
    </row>
    <row r="16" spans="2:38" x14ac:dyDescent="0.35">
      <c r="B16" s="144" t="s">
        <v>126</v>
      </c>
      <c r="C16" s="145" t="s">
        <v>127</v>
      </c>
      <c r="D16" s="156" t="s">
        <v>134</v>
      </c>
      <c r="E16" s="147">
        <v>115.5</v>
      </c>
      <c r="F16" s="147" t="s">
        <v>129</v>
      </c>
      <c r="G16" s="15"/>
      <c r="H16" s="148"/>
      <c r="I16" s="149">
        <f t="shared" si="1"/>
        <v>4</v>
      </c>
      <c r="J16" s="149">
        <f t="shared" si="2"/>
        <v>4</v>
      </c>
      <c r="K16" s="15"/>
      <c r="L16" s="150">
        <f t="shared" si="3"/>
        <v>0</v>
      </c>
      <c r="M16" s="151">
        <f t="shared" si="4"/>
        <v>462</v>
      </c>
      <c r="N16" s="151">
        <f t="shared" si="5"/>
        <v>462</v>
      </c>
      <c r="O16" s="15"/>
      <c r="P16" s="157">
        <v>4</v>
      </c>
      <c r="Q16" s="157"/>
      <c r="R16" s="157"/>
      <c r="S16" s="157"/>
      <c r="T16" s="157"/>
      <c r="U16" s="158"/>
      <c r="V16" s="159"/>
      <c r="W16" s="159"/>
      <c r="X16" s="159"/>
      <c r="Y16" s="159"/>
      <c r="Z16" s="54"/>
      <c r="AA16" s="160">
        <v>462</v>
      </c>
      <c r="AB16" s="160"/>
      <c r="AC16" s="160"/>
      <c r="AD16" s="160"/>
      <c r="AE16" s="160"/>
      <c r="AF16" s="160"/>
      <c r="AG16" s="160"/>
      <c r="AH16" s="160"/>
      <c r="AI16" s="160"/>
      <c r="AJ16" s="160"/>
      <c r="AK16" s="161"/>
      <c r="AL16" s="342"/>
    </row>
    <row r="17" spans="2:38" x14ac:dyDescent="0.35">
      <c r="B17" s="144" t="s">
        <v>126</v>
      </c>
      <c r="C17" s="145" t="s">
        <v>127</v>
      </c>
      <c r="D17" s="156" t="s">
        <v>135</v>
      </c>
      <c r="E17" s="147">
        <v>115.5</v>
      </c>
      <c r="F17" s="147" t="s">
        <v>129</v>
      </c>
      <c r="G17" s="15"/>
      <c r="H17" s="148"/>
      <c r="I17" s="149">
        <f t="shared" si="1"/>
        <v>4</v>
      </c>
      <c r="J17" s="149">
        <f t="shared" si="2"/>
        <v>4</v>
      </c>
      <c r="K17" s="15"/>
      <c r="L17" s="150">
        <f t="shared" si="3"/>
        <v>0</v>
      </c>
      <c r="M17" s="151">
        <f t="shared" si="4"/>
        <v>462</v>
      </c>
      <c r="N17" s="151">
        <f t="shared" si="5"/>
        <v>462</v>
      </c>
      <c r="O17" s="15"/>
      <c r="P17" s="157"/>
      <c r="Q17" s="157">
        <v>4</v>
      </c>
      <c r="R17" s="157"/>
      <c r="S17" s="157"/>
      <c r="T17" s="157"/>
      <c r="U17" s="158"/>
      <c r="V17" s="159"/>
      <c r="W17" s="159"/>
      <c r="X17" s="159"/>
      <c r="Y17" s="159"/>
      <c r="Z17" s="54"/>
      <c r="AA17" s="160">
        <v>0</v>
      </c>
      <c r="AB17" s="160">
        <v>462</v>
      </c>
      <c r="AC17" s="160"/>
      <c r="AD17" s="160"/>
      <c r="AE17" s="160"/>
      <c r="AF17" s="160"/>
      <c r="AG17" s="160"/>
      <c r="AH17" s="160"/>
      <c r="AI17" s="160"/>
      <c r="AJ17" s="160"/>
      <c r="AK17" s="161"/>
      <c r="AL17" s="162"/>
    </row>
    <row r="18" spans="2:38" x14ac:dyDescent="0.35">
      <c r="B18" s="144" t="s">
        <v>126</v>
      </c>
      <c r="C18" s="145" t="s">
        <v>127</v>
      </c>
      <c r="D18" s="156" t="s">
        <v>136</v>
      </c>
      <c r="E18" s="147">
        <v>115.5</v>
      </c>
      <c r="F18" s="147" t="s">
        <v>129</v>
      </c>
      <c r="G18" s="15"/>
      <c r="H18" s="148"/>
      <c r="I18" s="149">
        <f t="shared" si="1"/>
        <v>4</v>
      </c>
      <c r="J18" s="149">
        <f t="shared" si="2"/>
        <v>4</v>
      </c>
      <c r="K18" s="15"/>
      <c r="L18" s="150">
        <f t="shared" si="3"/>
        <v>0</v>
      </c>
      <c r="M18" s="151">
        <f t="shared" si="4"/>
        <v>462</v>
      </c>
      <c r="N18" s="151">
        <f t="shared" si="5"/>
        <v>462</v>
      </c>
      <c r="O18" s="15"/>
      <c r="P18" s="157"/>
      <c r="Q18" s="157">
        <v>4</v>
      </c>
      <c r="R18" s="157"/>
      <c r="S18" s="157"/>
      <c r="T18" s="157"/>
      <c r="U18" s="158"/>
      <c r="V18" s="159"/>
      <c r="W18" s="159"/>
      <c r="X18" s="159"/>
      <c r="Y18" s="159"/>
      <c r="Z18" s="54"/>
      <c r="AA18" s="160">
        <v>0</v>
      </c>
      <c r="AB18" s="160">
        <v>462</v>
      </c>
      <c r="AC18" s="160"/>
      <c r="AD18" s="160"/>
      <c r="AE18" s="160"/>
      <c r="AF18" s="160"/>
      <c r="AG18" s="160"/>
      <c r="AH18" s="160"/>
      <c r="AI18" s="160"/>
      <c r="AJ18" s="160"/>
      <c r="AK18" s="161"/>
      <c r="AL18" s="162"/>
    </row>
    <row r="19" spans="2:38" x14ac:dyDescent="0.35">
      <c r="B19" s="144" t="s">
        <v>126</v>
      </c>
      <c r="C19" s="145" t="s">
        <v>127</v>
      </c>
      <c r="D19" s="156" t="s">
        <v>137</v>
      </c>
      <c r="E19" s="147">
        <v>115.5</v>
      </c>
      <c r="F19" s="147" t="s">
        <v>129</v>
      </c>
      <c r="G19" s="15"/>
      <c r="H19" s="148"/>
      <c r="I19" s="149">
        <f t="shared" si="1"/>
        <v>4</v>
      </c>
      <c r="J19" s="149">
        <f t="shared" si="2"/>
        <v>4</v>
      </c>
      <c r="K19" s="15"/>
      <c r="L19" s="150">
        <f t="shared" si="3"/>
        <v>0</v>
      </c>
      <c r="M19" s="151">
        <f t="shared" si="4"/>
        <v>462</v>
      </c>
      <c r="N19" s="151">
        <f t="shared" si="5"/>
        <v>462</v>
      </c>
      <c r="O19" s="15"/>
      <c r="P19" s="157"/>
      <c r="Q19" s="157">
        <v>4</v>
      </c>
      <c r="R19" s="157"/>
      <c r="S19" s="157"/>
      <c r="T19" s="157"/>
      <c r="U19" s="158"/>
      <c r="V19" s="159"/>
      <c r="W19" s="159"/>
      <c r="X19" s="159"/>
      <c r="Y19" s="159"/>
      <c r="Z19" s="54"/>
      <c r="AA19" s="160">
        <v>0</v>
      </c>
      <c r="AB19" s="160">
        <v>462</v>
      </c>
      <c r="AC19" s="160"/>
      <c r="AD19" s="160"/>
      <c r="AE19" s="160"/>
      <c r="AF19" s="160"/>
      <c r="AG19" s="160"/>
      <c r="AH19" s="160"/>
      <c r="AI19" s="160"/>
      <c r="AJ19" s="160"/>
      <c r="AK19" s="161"/>
      <c r="AL19" s="155"/>
    </row>
    <row r="20" spans="2:38" x14ac:dyDescent="0.35">
      <c r="B20" s="144" t="s">
        <v>126</v>
      </c>
      <c r="C20" s="145" t="s">
        <v>127</v>
      </c>
      <c r="D20" s="156" t="s">
        <v>138</v>
      </c>
      <c r="E20" s="147">
        <v>142</v>
      </c>
      <c r="F20" s="147" t="s">
        <v>129</v>
      </c>
      <c r="G20" s="15"/>
      <c r="H20" s="163"/>
      <c r="I20" s="149">
        <f t="shared" si="1"/>
        <v>4</v>
      </c>
      <c r="J20" s="149">
        <f t="shared" si="2"/>
        <v>4</v>
      </c>
      <c r="K20" s="15"/>
      <c r="L20" s="150">
        <f t="shared" si="3"/>
        <v>0</v>
      </c>
      <c r="M20" s="151">
        <f t="shared" si="4"/>
        <v>568</v>
      </c>
      <c r="N20" s="151">
        <f t="shared" si="5"/>
        <v>568</v>
      </c>
      <c r="O20" s="15"/>
      <c r="P20" s="157"/>
      <c r="Q20" s="157"/>
      <c r="R20" s="157">
        <v>4</v>
      </c>
      <c r="S20" s="157"/>
      <c r="T20" s="157"/>
      <c r="U20" s="158"/>
      <c r="V20" s="159"/>
      <c r="W20" s="159"/>
      <c r="X20" s="159"/>
      <c r="Y20" s="159"/>
      <c r="Z20" s="54"/>
      <c r="AA20" s="160"/>
      <c r="AB20" s="160"/>
      <c r="AC20" s="160">
        <v>568</v>
      </c>
      <c r="AD20" s="160"/>
      <c r="AE20" s="160"/>
      <c r="AF20" s="160"/>
      <c r="AG20" s="160"/>
      <c r="AH20" s="160"/>
      <c r="AI20" s="160"/>
      <c r="AJ20" s="160"/>
      <c r="AK20" s="161"/>
      <c r="AL20" s="155"/>
    </row>
    <row r="21" spans="2:38" x14ac:dyDescent="0.35">
      <c r="B21" s="144"/>
      <c r="C21" s="164"/>
      <c r="D21" s="165"/>
      <c r="E21" s="166"/>
      <c r="F21" s="166"/>
      <c r="G21" s="15"/>
      <c r="H21" s="167"/>
      <c r="I21" s="168"/>
      <c r="J21" s="168"/>
      <c r="K21" s="15"/>
      <c r="L21" s="169"/>
      <c r="M21" s="170"/>
      <c r="N21" s="170"/>
      <c r="O21" s="15"/>
      <c r="P21" s="157"/>
      <c r="Q21" s="157"/>
      <c r="R21" s="157"/>
      <c r="S21" s="157"/>
      <c r="T21" s="157"/>
      <c r="U21" s="158"/>
      <c r="V21" s="159"/>
      <c r="W21" s="159"/>
      <c r="X21" s="159"/>
      <c r="Y21" s="159"/>
      <c r="Z21" s="54"/>
      <c r="AA21" s="160"/>
      <c r="AB21" s="160"/>
      <c r="AC21" s="160"/>
      <c r="AD21" s="160"/>
      <c r="AE21" s="160"/>
      <c r="AF21" s="160"/>
      <c r="AG21" s="160"/>
      <c r="AH21" s="160"/>
      <c r="AI21" s="160"/>
      <c r="AJ21" s="160"/>
      <c r="AK21" s="161"/>
      <c r="AL21" s="161"/>
    </row>
    <row r="22" spans="2:38" x14ac:dyDescent="0.35">
      <c r="B22" s="171"/>
      <c r="C22" s="172" t="s">
        <v>139</v>
      </c>
      <c r="D22" s="173"/>
      <c r="E22" s="174"/>
      <c r="F22" s="174"/>
      <c r="G22" s="15"/>
      <c r="H22" s="175">
        <f>SUBTOTAL(9,H12:H21)</f>
        <v>0</v>
      </c>
      <c r="I22" s="175">
        <f>SUBTOTAL(9,I12:I21)</f>
        <v>36</v>
      </c>
      <c r="J22" s="176">
        <f>SUBTOTAL(9,J12:J21)</f>
        <v>36</v>
      </c>
      <c r="K22" s="60"/>
      <c r="L22" s="177">
        <f>SUBTOTAL(9,L12:L21)</f>
        <v>0</v>
      </c>
      <c r="M22" s="178">
        <f>SUBTOTAL(9,M12:M21)</f>
        <v>4264</v>
      </c>
      <c r="N22" s="178">
        <f>SUBTOTAL(9,N12:N21)</f>
        <v>4264</v>
      </c>
      <c r="O22" s="15"/>
      <c r="P22" s="175">
        <f t="shared" ref="P22:Y22" si="6">SUBTOTAL(9,P12:P21)</f>
        <v>20</v>
      </c>
      <c r="Q22" s="175">
        <f t="shared" si="6"/>
        <v>12</v>
      </c>
      <c r="R22" s="175">
        <f t="shared" si="6"/>
        <v>4</v>
      </c>
      <c r="S22" s="175">
        <f t="shared" si="6"/>
        <v>0</v>
      </c>
      <c r="T22" s="175">
        <f t="shared" si="6"/>
        <v>0</v>
      </c>
      <c r="U22" s="175">
        <f t="shared" si="6"/>
        <v>0</v>
      </c>
      <c r="V22" s="175">
        <f t="shared" si="6"/>
        <v>0</v>
      </c>
      <c r="W22" s="175">
        <f t="shared" si="6"/>
        <v>0</v>
      </c>
      <c r="X22" s="175">
        <f t="shared" si="6"/>
        <v>0</v>
      </c>
      <c r="Y22" s="175">
        <f t="shared" si="6"/>
        <v>0</v>
      </c>
      <c r="Z22" s="54"/>
      <c r="AA22" s="160"/>
      <c r="AB22" s="160"/>
      <c r="AC22" s="160"/>
      <c r="AD22" s="160"/>
      <c r="AE22" s="160"/>
      <c r="AF22" s="160"/>
      <c r="AG22" s="160"/>
      <c r="AH22" s="160"/>
      <c r="AI22" s="160"/>
      <c r="AJ22" s="160"/>
      <c r="AK22" s="161"/>
      <c r="AL22" s="161"/>
    </row>
    <row r="23" spans="2:38" x14ac:dyDescent="0.35">
      <c r="B23" s="140"/>
      <c r="C23" s="141" t="s">
        <v>140</v>
      </c>
      <c r="D23" s="140"/>
      <c r="E23" s="142"/>
      <c r="F23" s="142"/>
      <c r="G23" s="15"/>
      <c r="H23" s="140"/>
      <c r="I23" s="140"/>
      <c r="J23" s="140"/>
      <c r="K23" s="15"/>
      <c r="L23" s="140"/>
      <c r="M23" s="140"/>
      <c r="N23" s="140"/>
      <c r="O23" s="15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54"/>
      <c r="AA23" s="143"/>
      <c r="AB23" s="143"/>
      <c r="AC23" s="143"/>
      <c r="AD23" s="143"/>
      <c r="AE23" s="143"/>
      <c r="AF23" s="143"/>
      <c r="AG23" s="143"/>
      <c r="AH23" s="143"/>
      <c r="AI23" s="143"/>
      <c r="AJ23" s="143"/>
      <c r="AK23" s="143"/>
      <c r="AL23" s="143"/>
    </row>
    <row r="24" spans="2:38" ht="15" customHeight="1" x14ac:dyDescent="0.35">
      <c r="B24" s="144" t="s">
        <v>141</v>
      </c>
      <c r="C24" s="145" t="s">
        <v>142</v>
      </c>
      <c r="D24" s="146" t="s">
        <v>128</v>
      </c>
      <c r="E24" s="147">
        <v>1750.65</v>
      </c>
      <c r="F24" s="147" t="s">
        <v>143</v>
      </c>
      <c r="G24" s="15"/>
      <c r="H24" s="148"/>
      <c r="I24" s="149">
        <f t="shared" ref="I24:I32" si="7">SUM(P24:Y24)</f>
        <v>1</v>
      </c>
      <c r="J24" s="149">
        <f t="shared" ref="J24:J32" si="8">H24+I24</f>
        <v>1</v>
      </c>
      <c r="K24" s="15"/>
      <c r="L24" s="150">
        <f t="shared" ref="L24:L32" si="9">H24*E24</f>
        <v>0</v>
      </c>
      <c r="M24" s="151">
        <f t="shared" ref="M24:M32" si="10">SUM(AA24:AJ24)</f>
        <v>1750.65</v>
      </c>
      <c r="N24" s="151">
        <f t="shared" ref="N24:N32" si="11">+L24+M24</f>
        <v>1750.65</v>
      </c>
      <c r="O24" s="15"/>
      <c r="P24" s="152">
        <v>1</v>
      </c>
      <c r="Q24" s="152"/>
      <c r="R24" s="152"/>
      <c r="S24" s="152"/>
      <c r="T24" s="152"/>
      <c r="U24" s="153"/>
      <c r="V24" s="154"/>
      <c r="W24" s="154"/>
      <c r="X24" s="154"/>
      <c r="Y24" s="154"/>
      <c r="Z24" s="54"/>
      <c r="AA24" s="147">
        <v>1750.65</v>
      </c>
      <c r="AB24" s="147"/>
      <c r="AC24" s="147"/>
      <c r="AD24" s="147"/>
      <c r="AE24" s="147"/>
      <c r="AF24" s="147"/>
      <c r="AG24" s="147"/>
      <c r="AH24" s="147"/>
      <c r="AI24" s="147"/>
      <c r="AJ24" s="147"/>
      <c r="AK24" s="155"/>
      <c r="AL24" s="343" t="s">
        <v>144</v>
      </c>
    </row>
    <row r="25" spans="2:38" x14ac:dyDescent="0.35">
      <c r="B25" s="144" t="s">
        <v>141</v>
      </c>
      <c r="C25" s="145" t="s">
        <v>142</v>
      </c>
      <c r="D25" s="156" t="s">
        <v>131</v>
      </c>
      <c r="E25" s="147">
        <v>1750.65</v>
      </c>
      <c r="F25" s="147" t="s">
        <v>143</v>
      </c>
      <c r="G25" s="15"/>
      <c r="H25" s="148"/>
      <c r="I25" s="149">
        <f t="shared" si="7"/>
        <v>1</v>
      </c>
      <c r="J25" s="149">
        <f t="shared" si="8"/>
        <v>1</v>
      </c>
      <c r="K25" s="15"/>
      <c r="L25" s="150">
        <f t="shared" si="9"/>
        <v>0</v>
      </c>
      <c r="M25" s="151">
        <f t="shared" si="10"/>
        <v>1750.65</v>
      </c>
      <c r="N25" s="151">
        <f t="shared" si="11"/>
        <v>1750.65</v>
      </c>
      <c r="O25" s="15"/>
      <c r="P25" s="157">
        <v>1</v>
      </c>
      <c r="Q25" s="157"/>
      <c r="R25" s="157"/>
      <c r="S25" s="157"/>
      <c r="T25" s="157"/>
      <c r="U25" s="158"/>
      <c r="V25" s="159"/>
      <c r="W25" s="159"/>
      <c r="X25" s="159"/>
      <c r="Y25" s="159"/>
      <c r="Z25" s="54"/>
      <c r="AA25" s="160">
        <v>1750.65</v>
      </c>
      <c r="AB25" s="160"/>
      <c r="AC25" s="160"/>
      <c r="AD25" s="160"/>
      <c r="AE25" s="160"/>
      <c r="AF25" s="160"/>
      <c r="AG25" s="160"/>
      <c r="AH25" s="160"/>
      <c r="AI25" s="160"/>
      <c r="AJ25" s="160"/>
      <c r="AK25" s="161"/>
      <c r="AL25" s="343"/>
    </row>
    <row r="26" spans="2:38" ht="19.5" customHeight="1" x14ac:dyDescent="0.35">
      <c r="B26" s="144" t="s">
        <v>141</v>
      </c>
      <c r="C26" s="145" t="s">
        <v>142</v>
      </c>
      <c r="D26" s="156" t="s">
        <v>132</v>
      </c>
      <c r="E26" s="147">
        <v>1750.65</v>
      </c>
      <c r="F26" s="147" t="s">
        <v>143</v>
      </c>
      <c r="G26" s="15"/>
      <c r="H26" s="148"/>
      <c r="I26" s="149">
        <f t="shared" si="7"/>
        <v>1</v>
      </c>
      <c r="J26" s="149">
        <f t="shared" si="8"/>
        <v>1</v>
      </c>
      <c r="K26" s="15"/>
      <c r="L26" s="150">
        <f t="shared" si="9"/>
        <v>0</v>
      </c>
      <c r="M26" s="151">
        <f t="shared" si="10"/>
        <v>1750.65</v>
      </c>
      <c r="N26" s="151">
        <f t="shared" si="11"/>
        <v>1750.65</v>
      </c>
      <c r="O26" s="15"/>
      <c r="P26" s="157">
        <v>1</v>
      </c>
      <c r="Q26" s="157"/>
      <c r="R26" s="157"/>
      <c r="S26" s="157"/>
      <c r="T26" s="157"/>
      <c r="U26" s="158"/>
      <c r="V26" s="159"/>
      <c r="W26" s="159"/>
      <c r="X26" s="159"/>
      <c r="Y26" s="159"/>
      <c r="Z26" s="54"/>
      <c r="AA26" s="160">
        <v>1750.65</v>
      </c>
      <c r="AB26" s="160"/>
      <c r="AC26" s="160"/>
      <c r="AD26" s="160"/>
      <c r="AE26" s="160"/>
      <c r="AF26" s="160"/>
      <c r="AG26" s="160"/>
      <c r="AH26" s="160"/>
      <c r="AI26" s="160"/>
      <c r="AJ26" s="160"/>
      <c r="AK26" s="161"/>
      <c r="AL26" s="343"/>
    </row>
    <row r="27" spans="2:38" x14ac:dyDescent="0.35">
      <c r="B27" s="144" t="s">
        <v>141</v>
      </c>
      <c r="C27" s="145" t="s">
        <v>142</v>
      </c>
      <c r="D27" s="156" t="s">
        <v>133</v>
      </c>
      <c r="E27" s="147">
        <v>1750.65</v>
      </c>
      <c r="F27" s="147" t="s">
        <v>143</v>
      </c>
      <c r="G27" s="15"/>
      <c r="H27" s="148"/>
      <c r="I27" s="149">
        <f t="shared" si="7"/>
        <v>1</v>
      </c>
      <c r="J27" s="149">
        <f t="shared" si="8"/>
        <v>1</v>
      </c>
      <c r="K27" s="15"/>
      <c r="L27" s="150">
        <f t="shared" si="9"/>
        <v>0</v>
      </c>
      <c r="M27" s="151">
        <f t="shared" si="10"/>
        <v>1750.65</v>
      </c>
      <c r="N27" s="151">
        <f t="shared" si="11"/>
        <v>1750.65</v>
      </c>
      <c r="O27" s="15"/>
      <c r="P27" s="157">
        <v>1</v>
      </c>
      <c r="Q27" s="157"/>
      <c r="R27" s="157"/>
      <c r="S27" s="157"/>
      <c r="T27" s="157"/>
      <c r="U27" s="158"/>
      <c r="V27" s="159"/>
      <c r="W27" s="159"/>
      <c r="X27" s="159"/>
      <c r="Y27" s="159"/>
      <c r="Z27" s="54"/>
      <c r="AA27" s="160">
        <v>1750.65</v>
      </c>
      <c r="AB27" s="160"/>
      <c r="AC27" s="160"/>
      <c r="AD27" s="160"/>
      <c r="AE27" s="160"/>
      <c r="AF27" s="160"/>
      <c r="AG27" s="160"/>
      <c r="AH27" s="160"/>
      <c r="AI27" s="160"/>
      <c r="AJ27" s="160"/>
      <c r="AK27" s="161"/>
      <c r="AL27" s="343"/>
    </row>
    <row r="28" spans="2:38" x14ac:dyDescent="0.35">
      <c r="B28" s="144" t="s">
        <v>141</v>
      </c>
      <c r="C28" s="145" t="s">
        <v>142</v>
      </c>
      <c r="D28" s="156" t="s">
        <v>134</v>
      </c>
      <c r="E28" s="147">
        <v>1750.65</v>
      </c>
      <c r="F28" s="147" t="s">
        <v>143</v>
      </c>
      <c r="G28" s="15"/>
      <c r="H28" s="148"/>
      <c r="I28" s="149">
        <f t="shared" si="7"/>
        <v>1</v>
      </c>
      <c r="J28" s="149">
        <f t="shared" si="8"/>
        <v>1</v>
      </c>
      <c r="K28" s="15"/>
      <c r="L28" s="150">
        <f t="shared" si="9"/>
        <v>0</v>
      </c>
      <c r="M28" s="151">
        <f t="shared" si="10"/>
        <v>1750.65</v>
      </c>
      <c r="N28" s="151">
        <f t="shared" si="11"/>
        <v>1750.65</v>
      </c>
      <c r="O28" s="15"/>
      <c r="P28" s="157">
        <v>1</v>
      </c>
      <c r="Q28" s="157"/>
      <c r="R28" s="157"/>
      <c r="S28" s="157"/>
      <c r="T28" s="157"/>
      <c r="U28" s="158"/>
      <c r="V28" s="159"/>
      <c r="W28" s="159"/>
      <c r="X28" s="159"/>
      <c r="Y28" s="159"/>
      <c r="Z28" s="54"/>
      <c r="AA28" s="160">
        <v>1750.65</v>
      </c>
      <c r="AB28" s="160"/>
      <c r="AC28" s="160"/>
      <c r="AD28" s="160"/>
      <c r="AE28" s="160"/>
      <c r="AF28" s="160"/>
      <c r="AG28" s="160"/>
      <c r="AH28" s="160"/>
      <c r="AI28" s="160"/>
      <c r="AJ28" s="160"/>
      <c r="AK28" s="161"/>
      <c r="AL28" s="343"/>
    </row>
    <row r="29" spans="2:38" x14ac:dyDescent="0.35">
      <c r="B29" s="144" t="s">
        <v>141</v>
      </c>
      <c r="C29" s="145" t="s">
        <v>142</v>
      </c>
      <c r="D29" s="156" t="s">
        <v>135</v>
      </c>
      <c r="E29" s="147">
        <v>1750.65</v>
      </c>
      <c r="F29" s="147" t="s">
        <v>143</v>
      </c>
      <c r="G29" s="15"/>
      <c r="H29" s="148"/>
      <c r="I29" s="149">
        <f t="shared" si="7"/>
        <v>1</v>
      </c>
      <c r="J29" s="149">
        <f t="shared" si="8"/>
        <v>1</v>
      </c>
      <c r="K29" s="15"/>
      <c r="L29" s="150">
        <f t="shared" si="9"/>
        <v>0</v>
      </c>
      <c r="M29" s="151">
        <f t="shared" si="10"/>
        <v>1750.65</v>
      </c>
      <c r="N29" s="151">
        <f t="shared" si="11"/>
        <v>1750.65</v>
      </c>
      <c r="O29" s="15"/>
      <c r="P29" s="157"/>
      <c r="Q29" s="157">
        <v>1</v>
      </c>
      <c r="R29" s="157"/>
      <c r="S29" s="157"/>
      <c r="T29" s="157"/>
      <c r="U29" s="158"/>
      <c r="V29" s="159"/>
      <c r="W29" s="159"/>
      <c r="X29" s="159"/>
      <c r="Y29" s="159"/>
      <c r="Z29" s="54"/>
      <c r="AA29" s="160">
        <v>0</v>
      </c>
      <c r="AB29" s="160">
        <v>1750.65</v>
      </c>
      <c r="AC29" s="160"/>
      <c r="AD29" s="160"/>
      <c r="AE29" s="160"/>
      <c r="AF29" s="160"/>
      <c r="AG29" s="160"/>
      <c r="AH29" s="160"/>
      <c r="AI29" s="160"/>
      <c r="AJ29" s="160"/>
      <c r="AK29" s="161"/>
      <c r="AL29" s="343"/>
    </row>
    <row r="30" spans="2:38" x14ac:dyDescent="0.35">
      <c r="B30" s="144" t="s">
        <v>141</v>
      </c>
      <c r="C30" s="145" t="s">
        <v>142</v>
      </c>
      <c r="D30" s="156" t="s">
        <v>136</v>
      </c>
      <c r="E30" s="147">
        <v>1750.65</v>
      </c>
      <c r="F30" s="147" t="s">
        <v>143</v>
      </c>
      <c r="G30" s="15"/>
      <c r="H30" s="148"/>
      <c r="I30" s="149">
        <f t="shared" si="7"/>
        <v>1</v>
      </c>
      <c r="J30" s="149">
        <f t="shared" si="8"/>
        <v>1</v>
      </c>
      <c r="K30" s="15"/>
      <c r="L30" s="150">
        <f t="shared" si="9"/>
        <v>0</v>
      </c>
      <c r="M30" s="151">
        <f t="shared" si="10"/>
        <v>1750.65</v>
      </c>
      <c r="N30" s="151">
        <f t="shared" si="11"/>
        <v>1750.65</v>
      </c>
      <c r="O30" s="15"/>
      <c r="P30" s="157"/>
      <c r="Q30" s="157">
        <v>1</v>
      </c>
      <c r="R30" s="157"/>
      <c r="S30" s="157"/>
      <c r="T30" s="157"/>
      <c r="U30" s="158"/>
      <c r="V30" s="159"/>
      <c r="W30" s="159"/>
      <c r="X30" s="159"/>
      <c r="Y30" s="159"/>
      <c r="Z30" s="54"/>
      <c r="AA30" s="160">
        <v>0</v>
      </c>
      <c r="AB30" s="160">
        <v>1750.65</v>
      </c>
      <c r="AC30" s="160"/>
      <c r="AD30" s="160"/>
      <c r="AE30" s="160"/>
      <c r="AF30" s="160"/>
      <c r="AG30" s="160"/>
      <c r="AH30" s="160"/>
      <c r="AI30" s="160"/>
      <c r="AJ30" s="160"/>
      <c r="AK30" s="161"/>
      <c r="AL30" s="343"/>
    </row>
    <row r="31" spans="2:38" x14ac:dyDescent="0.35">
      <c r="B31" s="144" t="s">
        <v>141</v>
      </c>
      <c r="C31" s="145" t="s">
        <v>142</v>
      </c>
      <c r="D31" s="156" t="s">
        <v>137</v>
      </c>
      <c r="E31" s="147">
        <v>1750.65</v>
      </c>
      <c r="F31" s="147" t="s">
        <v>143</v>
      </c>
      <c r="G31" s="15"/>
      <c r="H31" s="148"/>
      <c r="I31" s="149">
        <f t="shared" si="7"/>
        <v>1</v>
      </c>
      <c r="J31" s="149">
        <f t="shared" si="8"/>
        <v>1</v>
      </c>
      <c r="K31" s="15"/>
      <c r="L31" s="150">
        <f t="shared" si="9"/>
        <v>0</v>
      </c>
      <c r="M31" s="151">
        <f t="shared" si="10"/>
        <v>1750.65</v>
      </c>
      <c r="N31" s="151">
        <f t="shared" si="11"/>
        <v>1750.65</v>
      </c>
      <c r="O31" s="15"/>
      <c r="P31" s="157"/>
      <c r="Q31" s="157">
        <v>1</v>
      </c>
      <c r="R31" s="157"/>
      <c r="S31" s="157"/>
      <c r="T31" s="157"/>
      <c r="U31" s="158"/>
      <c r="V31" s="159"/>
      <c r="W31" s="159"/>
      <c r="X31" s="159"/>
      <c r="Y31" s="159"/>
      <c r="Z31" s="54"/>
      <c r="AA31" s="160">
        <v>0</v>
      </c>
      <c r="AB31" s="160">
        <v>1750.65</v>
      </c>
      <c r="AC31" s="160"/>
      <c r="AD31" s="160"/>
      <c r="AE31" s="160"/>
      <c r="AF31" s="160"/>
      <c r="AG31" s="160"/>
      <c r="AH31" s="160"/>
      <c r="AI31" s="160"/>
      <c r="AJ31" s="160"/>
      <c r="AK31" s="161"/>
      <c r="AL31" s="343"/>
    </row>
    <row r="32" spans="2:38" x14ac:dyDescent="0.35">
      <c r="B32" s="144" t="s">
        <v>141</v>
      </c>
      <c r="C32" s="145" t="s">
        <v>142</v>
      </c>
      <c r="D32" s="156" t="s">
        <v>138</v>
      </c>
      <c r="E32" s="147">
        <v>1750.65</v>
      </c>
      <c r="F32" s="147" t="s">
        <v>143</v>
      </c>
      <c r="G32" s="15"/>
      <c r="H32" s="163"/>
      <c r="I32" s="149">
        <f t="shared" si="7"/>
        <v>1</v>
      </c>
      <c r="J32" s="149">
        <f t="shared" si="8"/>
        <v>1</v>
      </c>
      <c r="K32" s="15"/>
      <c r="L32" s="150">
        <f t="shared" si="9"/>
        <v>0</v>
      </c>
      <c r="M32" s="151">
        <f t="shared" si="10"/>
        <v>1750.65</v>
      </c>
      <c r="N32" s="151">
        <f t="shared" si="11"/>
        <v>1750.65</v>
      </c>
      <c r="O32" s="15"/>
      <c r="P32" s="157"/>
      <c r="Q32" s="157"/>
      <c r="R32" s="157">
        <v>1</v>
      </c>
      <c r="S32" s="157"/>
      <c r="T32" s="157"/>
      <c r="U32" s="158"/>
      <c r="V32" s="159"/>
      <c r="W32" s="159"/>
      <c r="X32" s="159"/>
      <c r="Y32" s="159"/>
      <c r="Z32" s="54"/>
      <c r="AA32" s="160"/>
      <c r="AB32" s="160"/>
      <c r="AC32" s="160">
        <v>1750.65</v>
      </c>
      <c r="AD32" s="160"/>
      <c r="AE32" s="160"/>
      <c r="AF32" s="160"/>
      <c r="AG32" s="160"/>
      <c r="AH32" s="160"/>
      <c r="AI32" s="160"/>
      <c r="AJ32" s="160"/>
      <c r="AK32" s="161"/>
      <c r="AL32" s="179"/>
    </row>
    <row r="33" spans="2:38" x14ac:dyDescent="0.35">
      <c r="B33" s="144"/>
      <c r="C33" s="164"/>
      <c r="D33" s="165"/>
      <c r="E33" s="166"/>
      <c r="F33" s="166"/>
      <c r="G33" s="15"/>
      <c r="H33" s="167"/>
      <c r="I33" s="168"/>
      <c r="J33" s="168"/>
      <c r="K33" s="15"/>
      <c r="L33" s="169"/>
      <c r="M33" s="170"/>
      <c r="N33" s="170"/>
      <c r="O33" s="15"/>
      <c r="P33" s="157"/>
      <c r="Q33" s="157"/>
      <c r="R33" s="157"/>
      <c r="S33" s="157"/>
      <c r="T33" s="157"/>
      <c r="U33" s="158"/>
      <c r="V33" s="159"/>
      <c r="W33" s="159"/>
      <c r="X33" s="159"/>
      <c r="Y33" s="159"/>
      <c r="Z33" s="54"/>
      <c r="AA33" s="160"/>
      <c r="AB33" s="160"/>
      <c r="AC33" s="160"/>
      <c r="AD33" s="160"/>
      <c r="AE33" s="160"/>
      <c r="AF33" s="160"/>
      <c r="AG33" s="160"/>
      <c r="AH33" s="160"/>
      <c r="AI33" s="160"/>
      <c r="AJ33" s="160"/>
      <c r="AK33" s="161"/>
      <c r="AL33" s="161"/>
    </row>
    <row r="34" spans="2:38" x14ac:dyDescent="0.35">
      <c r="B34" s="171"/>
      <c r="C34" s="172" t="s">
        <v>145</v>
      </c>
      <c r="D34" s="173"/>
      <c r="E34" s="174"/>
      <c r="F34" s="174"/>
      <c r="G34" s="15"/>
      <c r="H34" s="175">
        <f>SUBTOTAL(9,H24:H33)</f>
        <v>0</v>
      </c>
      <c r="I34" s="175">
        <f>SUBTOTAL(9,I24:I33)</f>
        <v>9</v>
      </c>
      <c r="J34" s="176">
        <f>SUBTOTAL(9,J24:J33)</f>
        <v>9</v>
      </c>
      <c r="K34" s="60"/>
      <c r="L34" s="177">
        <f>SUBTOTAL(9,L24:L33)</f>
        <v>0</v>
      </c>
      <c r="M34" s="178">
        <f>SUBTOTAL(9,M24:M33)</f>
        <v>15755.849999999999</v>
      </c>
      <c r="N34" s="178">
        <f>SUBTOTAL(9,N24:N33)</f>
        <v>15755.849999999999</v>
      </c>
      <c r="O34" s="15"/>
      <c r="P34" s="175">
        <f t="shared" ref="P34:Y34" si="12">SUBTOTAL(9,P24:P33)</f>
        <v>5</v>
      </c>
      <c r="Q34" s="175">
        <f t="shared" si="12"/>
        <v>3</v>
      </c>
      <c r="R34" s="175">
        <f t="shared" si="12"/>
        <v>1</v>
      </c>
      <c r="S34" s="175">
        <f t="shared" si="12"/>
        <v>0</v>
      </c>
      <c r="T34" s="175">
        <f t="shared" si="12"/>
        <v>0</v>
      </c>
      <c r="U34" s="175">
        <f t="shared" si="12"/>
        <v>0</v>
      </c>
      <c r="V34" s="175">
        <f t="shared" si="12"/>
        <v>0</v>
      </c>
      <c r="W34" s="175">
        <f t="shared" si="12"/>
        <v>0</v>
      </c>
      <c r="X34" s="175">
        <f t="shared" si="12"/>
        <v>0</v>
      </c>
      <c r="Y34" s="175">
        <f t="shared" si="12"/>
        <v>0</v>
      </c>
      <c r="Z34" s="54"/>
      <c r="AA34" s="160"/>
      <c r="AB34" s="160"/>
      <c r="AC34" s="160"/>
      <c r="AD34" s="160"/>
      <c r="AE34" s="160"/>
      <c r="AF34" s="160"/>
      <c r="AG34" s="160"/>
      <c r="AH34" s="160"/>
      <c r="AI34" s="160"/>
      <c r="AJ34" s="160"/>
      <c r="AK34" s="161"/>
      <c r="AL34" s="161"/>
    </row>
    <row r="35" spans="2:38" x14ac:dyDescent="0.35">
      <c r="B35" s="140"/>
      <c r="C35" s="141" t="s">
        <v>146</v>
      </c>
      <c r="D35" s="140"/>
      <c r="E35" s="142"/>
      <c r="F35" s="142"/>
      <c r="G35" s="15"/>
      <c r="H35" s="140"/>
      <c r="I35" s="140"/>
      <c r="J35" s="140"/>
      <c r="K35" s="15"/>
      <c r="L35" s="140"/>
      <c r="M35" s="140"/>
      <c r="N35" s="140"/>
      <c r="O35" s="15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54"/>
      <c r="AA35" s="143"/>
      <c r="AB35" s="143"/>
      <c r="AC35" s="143"/>
      <c r="AD35" s="143"/>
      <c r="AE35" s="143"/>
      <c r="AF35" s="143"/>
      <c r="AG35" s="143"/>
      <c r="AH35" s="143"/>
      <c r="AI35" s="143"/>
      <c r="AJ35" s="143"/>
      <c r="AK35" s="143"/>
      <c r="AL35" s="143"/>
    </row>
    <row r="36" spans="2:38" ht="14.25" customHeight="1" x14ac:dyDescent="0.35">
      <c r="B36" s="144" t="s">
        <v>147</v>
      </c>
      <c r="C36" s="145" t="s">
        <v>148</v>
      </c>
      <c r="D36" s="146" t="s">
        <v>128</v>
      </c>
      <c r="E36" s="147">
        <v>115.5</v>
      </c>
      <c r="F36" s="147" t="s">
        <v>129</v>
      </c>
      <c r="G36" s="15"/>
      <c r="H36" s="148"/>
      <c r="I36" s="149">
        <f t="shared" ref="I36:I44" si="13">SUM(P36:Y36)</f>
        <v>5</v>
      </c>
      <c r="J36" s="149">
        <f t="shared" ref="J36:J44" si="14">H36+I36</f>
        <v>5</v>
      </c>
      <c r="K36" s="15"/>
      <c r="L36" s="150">
        <f t="shared" ref="L36:L44" si="15">H36*E36</f>
        <v>0</v>
      </c>
      <c r="M36" s="151">
        <f t="shared" ref="M36:M44" si="16">SUM(AA36:AJ36)</f>
        <v>577.5</v>
      </c>
      <c r="N36" s="151">
        <f t="shared" ref="N36:N44" si="17">+L36+M36</f>
        <v>577.5</v>
      </c>
      <c r="O36" s="15"/>
      <c r="P36" s="152">
        <v>5</v>
      </c>
      <c r="Q36" s="152"/>
      <c r="R36" s="152"/>
      <c r="S36" s="152"/>
      <c r="T36" s="152"/>
      <c r="U36" s="153"/>
      <c r="V36" s="154"/>
      <c r="W36" s="154"/>
      <c r="X36" s="154"/>
      <c r="Y36" s="154"/>
      <c r="Z36" s="54"/>
      <c r="AA36" s="147">
        <v>577.5</v>
      </c>
      <c r="AB36" s="147"/>
      <c r="AC36" s="147"/>
      <c r="AD36" s="147"/>
      <c r="AE36" s="147"/>
      <c r="AF36" s="147"/>
      <c r="AG36" s="147"/>
      <c r="AH36" s="147"/>
      <c r="AI36" s="147"/>
      <c r="AJ36" s="147"/>
      <c r="AK36" s="155"/>
      <c r="AL36" s="343" t="s">
        <v>149</v>
      </c>
    </row>
    <row r="37" spans="2:38" x14ac:dyDescent="0.35">
      <c r="B37" s="144" t="s">
        <v>147</v>
      </c>
      <c r="C37" s="145" t="s">
        <v>148</v>
      </c>
      <c r="D37" s="156" t="s">
        <v>131</v>
      </c>
      <c r="E37" s="147">
        <v>115.5</v>
      </c>
      <c r="F37" s="147" t="s">
        <v>129</v>
      </c>
      <c r="G37" s="15"/>
      <c r="H37" s="148"/>
      <c r="I37" s="149">
        <f t="shared" si="13"/>
        <v>5</v>
      </c>
      <c r="J37" s="149">
        <f t="shared" si="14"/>
        <v>5</v>
      </c>
      <c r="K37" s="15"/>
      <c r="L37" s="150">
        <f t="shared" si="15"/>
        <v>0</v>
      </c>
      <c r="M37" s="151">
        <f t="shared" si="16"/>
        <v>577.5</v>
      </c>
      <c r="N37" s="151">
        <f t="shared" si="17"/>
        <v>577.5</v>
      </c>
      <c r="O37" s="15"/>
      <c r="P37" s="157">
        <v>5</v>
      </c>
      <c r="Q37" s="157"/>
      <c r="R37" s="157"/>
      <c r="S37" s="157"/>
      <c r="T37" s="157"/>
      <c r="U37" s="158"/>
      <c r="V37" s="159"/>
      <c r="W37" s="159"/>
      <c r="X37" s="159"/>
      <c r="Y37" s="159"/>
      <c r="Z37" s="54"/>
      <c r="AA37" s="160">
        <v>577.5</v>
      </c>
      <c r="AB37" s="160"/>
      <c r="AC37" s="160"/>
      <c r="AD37" s="160"/>
      <c r="AE37" s="160"/>
      <c r="AF37" s="160"/>
      <c r="AG37" s="160"/>
      <c r="AH37" s="160"/>
      <c r="AI37" s="160"/>
      <c r="AJ37" s="160"/>
      <c r="AK37" s="161"/>
      <c r="AL37" s="343"/>
    </row>
    <row r="38" spans="2:38" ht="19.5" customHeight="1" x14ac:dyDescent="0.35">
      <c r="B38" s="144" t="s">
        <v>147</v>
      </c>
      <c r="C38" s="145" t="s">
        <v>148</v>
      </c>
      <c r="D38" s="156" t="s">
        <v>132</v>
      </c>
      <c r="E38" s="147">
        <v>115.5</v>
      </c>
      <c r="F38" s="147" t="s">
        <v>129</v>
      </c>
      <c r="G38" s="15"/>
      <c r="H38" s="148"/>
      <c r="I38" s="149">
        <f t="shared" si="13"/>
        <v>5</v>
      </c>
      <c r="J38" s="149">
        <f t="shared" si="14"/>
        <v>5</v>
      </c>
      <c r="K38" s="15"/>
      <c r="L38" s="150">
        <f t="shared" si="15"/>
        <v>0</v>
      </c>
      <c r="M38" s="151">
        <f t="shared" si="16"/>
        <v>577.5</v>
      </c>
      <c r="N38" s="151">
        <f t="shared" si="17"/>
        <v>577.5</v>
      </c>
      <c r="O38" s="15"/>
      <c r="P38" s="157">
        <v>5</v>
      </c>
      <c r="Q38" s="157"/>
      <c r="R38" s="157"/>
      <c r="S38" s="157"/>
      <c r="T38" s="157"/>
      <c r="U38" s="158"/>
      <c r="V38" s="159"/>
      <c r="W38" s="159"/>
      <c r="X38" s="159"/>
      <c r="Y38" s="159"/>
      <c r="Z38" s="54"/>
      <c r="AA38" s="160">
        <v>577.5</v>
      </c>
      <c r="AB38" s="160"/>
      <c r="AC38" s="160"/>
      <c r="AD38" s="160"/>
      <c r="AE38" s="160"/>
      <c r="AF38" s="160"/>
      <c r="AG38" s="160"/>
      <c r="AH38" s="160"/>
      <c r="AI38" s="160"/>
      <c r="AJ38" s="160"/>
      <c r="AK38" s="161"/>
      <c r="AL38" s="343"/>
    </row>
    <row r="39" spans="2:38" x14ac:dyDescent="0.35">
      <c r="B39" s="144" t="s">
        <v>147</v>
      </c>
      <c r="C39" s="145" t="s">
        <v>148</v>
      </c>
      <c r="D39" s="156" t="s">
        <v>133</v>
      </c>
      <c r="E39" s="147">
        <v>115.5</v>
      </c>
      <c r="F39" s="147" t="s">
        <v>129</v>
      </c>
      <c r="G39" s="15"/>
      <c r="H39" s="148"/>
      <c r="I39" s="149">
        <f t="shared" si="13"/>
        <v>5</v>
      </c>
      <c r="J39" s="149">
        <f t="shared" si="14"/>
        <v>5</v>
      </c>
      <c r="K39" s="15"/>
      <c r="L39" s="150">
        <f t="shared" si="15"/>
        <v>0</v>
      </c>
      <c r="M39" s="151">
        <f t="shared" si="16"/>
        <v>577.5</v>
      </c>
      <c r="N39" s="151">
        <f t="shared" si="17"/>
        <v>577.5</v>
      </c>
      <c r="O39" s="15"/>
      <c r="P39" s="157">
        <v>5</v>
      </c>
      <c r="Q39" s="157"/>
      <c r="R39" s="157"/>
      <c r="S39" s="157"/>
      <c r="T39" s="157"/>
      <c r="U39" s="158"/>
      <c r="V39" s="159"/>
      <c r="W39" s="159"/>
      <c r="X39" s="159"/>
      <c r="Y39" s="159"/>
      <c r="Z39" s="54"/>
      <c r="AA39" s="160">
        <v>577.5</v>
      </c>
      <c r="AB39" s="160"/>
      <c r="AC39" s="160"/>
      <c r="AD39" s="160"/>
      <c r="AE39" s="160"/>
      <c r="AF39" s="160"/>
      <c r="AG39" s="160"/>
      <c r="AH39" s="160"/>
      <c r="AI39" s="160"/>
      <c r="AJ39" s="160"/>
      <c r="AK39" s="161"/>
      <c r="AL39" s="343"/>
    </row>
    <row r="40" spans="2:38" x14ac:dyDescent="0.35">
      <c r="B40" s="144" t="s">
        <v>147</v>
      </c>
      <c r="C40" s="145" t="s">
        <v>148</v>
      </c>
      <c r="D40" s="156" t="s">
        <v>134</v>
      </c>
      <c r="E40" s="147">
        <v>115.5</v>
      </c>
      <c r="F40" s="147" t="s">
        <v>129</v>
      </c>
      <c r="G40" s="15"/>
      <c r="H40" s="148"/>
      <c r="I40" s="149">
        <f t="shared" si="13"/>
        <v>5</v>
      </c>
      <c r="J40" s="149">
        <f t="shared" si="14"/>
        <v>5</v>
      </c>
      <c r="K40" s="15"/>
      <c r="L40" s="150">
        <f t="shared" si="15"/>
        <v>0</v>
      </c>
      <c r="M40" s="151">
        <f t="shared" si="16"/>
        <v>577.5</v>
      </c>
      <c r="N40" s="151">
        <f t="shared" si="17"/>
        <v>577.5</v>
      </c>
      <c r="O40" s="15"/>
      <c r="P40" s="157">
        <v>5</v>
      </c>
      <c r="Q40" s="157"/>
      <c r="R40" s="157"/>
      <c r="S40" s="157"/>
      <c r="T40" s="157"/>
      <c r="U40" s="158"/>
      <c r="V40" s="159"/>
      <c r="W40" s="159"/>
      <c r="X40" s="159"/>
      <c r="Y40" s="159"/>
      <c r="Z40" s="54"/>
      <c r="AA40" s="160">
        <v>577.5</v>
      </c>
      <c r="AB40" s="160"/>
      <c r="AC40" s="160"/>
      <c r="AD40" s="160"/>
      <c r="AE40" s="160"/>
      <c r="AF40" s="160"/>
      <c r="AG40" s="160"/>
      <c r="AH40" s="160"/>
      <c r="AI40" s="160"/>
      <c r="AJ40" s="160"/>
      <c r="AK40" s="161"/>
      <c r="AL40" s="343"/>
    </row>
    <row r="41" spans="2:38" x14ac:dyDescent="0.35">
      <c r="B41" s="144" t="s">
        <v>147</v>
      </c>
      <c r="C41" s="145" t="s">
        <v>148</v>
      </c>
      <c r="D41" s="156" t="s">
        <v>135</v>
      </c>
      <c r="E41" s="147">
        <v>115.5</v>
      </c>
      <c r="F41" s="147" t="s">
        <v>129</v>
      </c>
      <c r="G41" s="15"/>
      <c r="H41" s="148"/>
      <c r="I41" s="149">
        <f t="shared" si="13"/>
        <v>5</v>
      </c>
      <c r="J41" s="149">
        <f t="shared" si="14"/>
        <v>5</v>
      </c>
      <c r="K41" s="15"/>
      <c r="L41" s="150">
        <f t="shared" si="15"/>
        <v>0</v>
      </c>
      <c r="M41" s="151">
        <f t="shared" si="16"/>
        <v>577.5</v>
      </c>
      <c r="N41" s="151">
        <f t="shared" si="17"/>
        <v>577.5</v>
      </c>
      <c r="O41" s="15"/>
      <c r="P41" s="157"/>
      <c r="Q41" s="157">
        <v>5</v>
      </c>
      <c r="R41" s="157"/>
      <c r="S41" s="157"/>
      <c r="T41" s="157"/>
      <c r="U41" s="158"/>
      <c r="V41" s="159"/>
      <c r="W41" s="159"/>
      <c r="X41" s="159"/>
      <c r="Y41" s="159"/>
      <c r="Z41" s="54"/>
      <c r="AA41" s="160"/>
      <c r="AB41" s="160">
        <v>577.5</v>
      </c>
      <c r="AC41" s="160"/>
      <c r="AD41" s="160"/>
      <c r="AE41" s="160"/>
      <c r="AF41" s="160"/>
      <c r="AG41" s="160"/>
      <c r="AH41" s="160"/>
      <c r="AI41" s="160"/>
      <c r="AJ41" s="160"/>
      <c r="AK41" s="161"/>
      <c r="AL41" s="343"/>
    </row>
    <row r="42" spans="2:38" x14ac:dyDescent="0.35">
      <c r="B42" s="144" t="s">
        <v>147</v>
      </c>
      <c r="C42" s="145" t="s">
        <v>148</v>
      </c>
      <c r="D42" s="156" t="s">
        <v>136</v>
      </c>
      <c r="E42" s="147">
        <v>115.5</v>
      </c>
      <c r="F42" s="147" t="s">
        <v>129</v>
      </c>
      <c r="G42" s="15"/>
      <c r="H42" s="148"/>
      <c r="I42" s="149">
        <f t="shared" si="13"/>
        <v>5</v>
      </c>
      <c r="J42" s="149">
        <f t="shared" si="14"/>
        <v>5</v>
      </c>
      <c r="K42" s="15"/>
      <c r="L42" s="150">
        <f t="shared" si="15"/>
        <v>0</v>
      </c>
      <c r="M42" s="151">
        <f t="shared" si="16"/>
        <v>577.5</v>
      </c>
      <c r="N42" s="151">
        <f t="shared" si="17"/>
        <v>577.5</v>
      </c>
      <c r="O42" s="15"/>
      <c r="P42" s="157"/>
      <c r="Q42" s="157">
        <v>5</v>
      </c>
      <c r="R42" s="157"/>
      <c r="S42" s="157"/>
      <c r="T42" s="157"/>
      <c r="U42" s="158"/>
      <c r="V42" s="159"/>
      <c r="W42" s="159"/>
      <c r="X42" s="159"/>
      <c r="Y42" s="159"/>
      <c r="Z42" s="54"/>
      <c r="AA42" s="160"/>
      <c r="AB42" s="160">
        <v>577.5</v>
      </c>
      <c r="AC42" s="160"/>
      <c r="AD42" s="160"/>
      <c r="AE42" s="160"/>
      <c r="AF42" s="160"/>
      <c r="AG42" s="160"/>
      <c r="AH42" s="160"/>
      <c r="AI42" s="160"/>
      <c r="AJ42" s="160"/>
      <c r="AK42" s="161"/>
      <c r="AL42" s="343"/>
    </row>
    <row r="43" spans="2:38" x14ac:dyDescent="0.35">
      <c r="B43" s="144" t="s">
        <v>147</v>
      </c>
      <c r="C43" s="145" t="s">
        <v>148</v>
      </c>
      <c r="D43" s="156" t="s">
        <v>137</v>
      </c>
      <c r="E43" s="147">
        <v>115.5</v>
      </c>
      <c r="F43" s="147" t="s">
        <v>129</v>
      </c>
      <c r="G43" s="15"/>
      <c r="H43" s="148"/>
      <c r="I43" s="149">
        <f t="shared" si="13"/>
        <v>5</v>
      </c>
      <c r="J43" s="149">
        <f t="shared" si="14"/>
        <v>5</v>
      </c>
      <c r="K43" s="15"/>
      <c r="L43" s="150">
        <f t="shared" si="15"/>
        <v>0</v>
      </c>
      <c r="M43" s="151">
        <f t="shared" si="16"/>
        <v>577.5</v>
      </c>
      <c r="N43" s="151">
        <f t="shared" si="17"/>
        <v>577.5</v>
      </c>
      <c r="O43" s="15"/>
      <c r="P43" s="157"/>
      <c r="Q43" s="157">
        <v>5</v>
      </c>
      <c r="R43" s="157"/>
      <c r="S43" s="157"/>
      <c r="T43" s="157"/>
      <c r="U43" s="158"/>
      <c r="V43" s="159"/>
      <c r="W43" s="159"/>
      <c r="X43" s="159"/>
      <c r="Y43" s="159"/>
      <c r="Z43" s="54"/>
      <c r="AA43" s="160"/>
      <c r="AB43" s="160">
        <v>577.5</v>
      </c>
      <c r="AC43" s="160"/>
      <c r="AD43" s="160"/>
      <c r="AE43" s="160"/>
      <c r="AF43" s="160"/>
      <c r="AG43" s="160"/>
      <c r="AH43" s="160"/>
      <c r="AI43" s="160"/>
      <c r="AJ43" s="160"/>
      <c r="AK43" s="161"/>
      <c r="AL43" s="343"/>
    </row>
    <row r="44" spans="2:38" x14ac:dyDescent="0.35">
      <c r="B44" s="144" t="s">
        <v>147</v>
      </c>
      <c r="C44" s="145" t="s">
        <v>148</v>
      </c>
      <c r="D44" s="156" t="s">
        <v>138</v>
      </c>
      <c r="E44" s="147">
        <v>142</v>
      </c>
      <c r="F44" s="147" t="s">
        <v>129</v>
      </c>
      <c r="G44" s="15"/>
      <c r="H44" s="163"/>
      <c r="I44" s="149">
        <f t="shared" si="13"/>
        <v>5</v>
      </c>
      <c r="J44" s="149">
        <f t="shared" si="14"/>
        <v>5</v>
      </c>
      <c r="K44" s="15"/>
      <c r="L44" s="150">
        <f t="shared" si="15"/>
        <v>0</v>
      </c>
      <c r="M44" s="151">
        <f t="shared" si="16"/>
        <v>710</v>
      </c>
      <c r="N44" s="151">
        <f t="shared" si="17"/>
        <v>710</v>
      </c>
      <c r="O44" s="15"/>
      <c r="P44" s="157"/>
      <c r="Q44" s="157"/>
      <c r="R44" s="157">
        <v>5</v>
      </c>
      <c r="S44" s="157"/>
      <c r="T44" s="157"/>
      <c r="U44" s="158"/>
      <c r="V44" s="159"/>
      <c r="W44" s="159"/>
      <c r="X44" s="159"/>
      <c r="Y44" s="159"/>
      <c r="Z44" s="54"/>
      <c r="AA44" s="160"/>
      <c r="AB44" s="160"/>
      <c r="AC44" s="160">
        <v>710</v>
      </c>
      <c r="AD44" s="160"/>
      <c r="AE44" s="160"/>
      <c r="AF44" s="160"/>
      <c r="AG44" s="160"/>
      <c r="AH44" s="160"/>
      <c r="AI44" s="160"/>
      <c r="AJ44" s="160"/>
      <c r="AK44" s="161"/>
      <c r="AL44" s="179"/>
    </row>
    <row r="45" spans="2:38" x14ac:dyDescent="0.35">
      <c r="B45" s="144"/>
      <c r="C45" s="164"/>
      <c r="D45" s="165"/>
      <c r="E45" s="166"/>
      <c r="F45" s="166"/>
      <c r="G45" s="15"/>
      <c r="H45" s="167"/>
      <c r="I45" s="168"/>
      <c r="J45" s="168"/>
      <c r="K45" s="15"/>
      <c r="L45" s="169"/>
      <c r="M45" s="170"/>
      <c r="N45" s="170"/>
      <c r="O45" s="15"/>
      <c r="P45" s="157"/>
      <c r="Q45" s="157"/>
      <c r="R45" s="157"/>
      <c r="S45" s="157"/>
      <c r="T45" s="157"/>
      <c r="U45" s="158"/>
      <c r="V45" s="159"/>
      <c r="W45" s="159"/>
      <c r="X45" s="159"/>
      <c r="Y45" s="159"/>
      <c r="Z45" s="54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1"/>
      <c r="AL45" s="161"/>
    </row>
    <row r="46" spans="2:38" x14ac:dyDescent="0.35">
      <c r="B46" s="171"/>
      <c r="C46" s="172" t="s">
        <v>150</v>
      </c>
      <c r="D46" s="173"/>
      <c r="E46" s="174"/>
      <c r="F46" s="174"/>
      <c r="G46" s="15"/>
      <c r="H46" s="175">
        <f>SUBTOTAL(9,H36:H45)</f>
        <v>0</v>
      </c>
      <c r="I46" s="175">
        <f>SUBTOTAL(9,I36:I45)</f>
        <v>45</v>
      </c>
      <c r="J46" s="176">
        <f>SUBTOTAL(9,J36:J45)</f>
        <v>45</v>
      </c>
      <c r="K46" s="60"/>
      <c r="L46" s="177">
        <f>SUBTOTAL(9,L36:L45)</f>
        <v>0</v>
      </c>
      <c r="M46" s="178">
        <f>SUBTOTAL(9,M36:M45)</f>
        <v>5330</v>
      </c>
      <c r="N46" s="178">
        <f>SUBTOTAL(9,N36:N45)</f>
        <v>5330</v>
      </c>
      <c r="O46" s="15"/>
      <c r="P46" s="175">
        <f t="shared" ref="P46:Y46" si="18">SUBTOTAL(9,P36:P45)</f>
        <v>25</v>
      </c>
      <c r="Q46" s="175">
        <f t="shared" si="18"/>
        <v>15</v>
      </c>
      <c r="R46" s="175">
        <f t="shared" si="18"/>
        <v>5</v>
      </c>
      <c r="S46" s="175">
        <f t="shared" si="18"/>
        <v>0</v>
      </c>
      <c r="T46" s="175">
        <f t="shared" si="18"/>
        <v>0</v>
      </c>
      <c r="U46" s="175">
        <f t="shared" si="18"/>
        <v>0</v>
      </c>
      <c r="V46" s="175">
        <f t="shared" si="18"/>
        <v>0</v>
      </c>
      <c r="W46" s="175">
        <f t="shared" si="18"/>
        <v>0</v>
      </c>
      <c r="X46" s="175">
        <f t="shared" si="18"/>
        <v>0</v>
      </c>
      <c r="Y46" s="175">
        <f t="shared" si="18"/>
        <v>0</v>
      </c>
      <c r="Z46" s="54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80"/>
      <c r="AL46" s="180"/>
    </row>
    <row r="47" spans="2:38" x14ac:dyDescent="0.35">
      <c r="B47" s="140"/>
      <c r="C47" s="141" t="s">
        <v>151</v>
      </c>
      <c r="D47" s="140"/>
      <c r="E47" s="142"/>
      <c r="F47" s="142"/>
      <c r="G47" s="15"/>
      <c r="H47" s="140"/>
      <c r="I47" s="140"/>
      <c r="J47" s="140"/>
      <c r="K47" s="15"/>
      <c r="L47" s="140"/>
      <c r="M47" s="140"/>
      <c r="N47" s="140"/>
      <c r="O47" s="15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54"/>
      <c r="AA47" s="143"/>
      <c r="AB47" s="143"/>
      <c r="AC47" s="143"/>
      <c r="AD47" s="143"/>
      <c r="AE47" s="143"/>
      <c r="AF47" s="143"/>
      <c r="AG47" s="143"/>
      <c r="AH47" s="143"/>
      <c r="AI47" s="143"/>
      <c r="AJ47" s="143"/>
      <c r="AK47" s="143"/>
      <c r="AL47" s="143"/>
    </row>
    <row r="48" spans="2:38" ht="21.75" customHeight="1" x14ac:dyDescent="0.35">
      <c r="B48" s="144" t="s">
        <v>152</v>
      </c>
      <c r="C48" s="145" t="s">
        <v>153</v>
      </c>
      <c r="D48" s="146"/>
      <c r="E48" s="147">
        <v>115.5</v>
      </c>
      <c r="F48" s="147" t="s">
        <v>129</v>
      </c>
      <c r="G48" s="15"/>
      <c r="H48" s="148"/>
      <c r="I48" s="149">
        <f t="shared" ref="I48:I55" si="19">SUM(P48:Y48)</f>
        <v>0</v>
      </c>
      <c r="J48" s="149">
        <f t="shared" ref="J48:J55" si="20">H48+I48</f>
        <v>0</v>
      </c>
      <c r="K48" s="15"/>
      <c r="L48" s="150">
        <f t="shared" ref="L48:L55" si="21">H48*E48</f>
        <v>0</v>
      </c>
      <c r="M48" s="151">
        <f t="shared" ref="M48:M55" si="22">SUM(AA48:AJ48)</f>
        <v>0</v>
      </c>
      <c r="N48" s="151">
        <f t="shared" ref="N48:N55" si="23">+L48+M48</f>
        <v>0</v>
      </c>
      <c r="O48" s="15"/>
      <c r="P48" s="152"/>
      <c r="Q48" s="152"/>
      <c r="R48" s="152"/>
      <c r="S48" s="152"/>
      <c r="T48" s="152"/>
      <c r="U48" s="153"/>
      <c r="V48" s="154"/>
      <c r="W48" s="154"/>
      <c r="X48" s="154"/>
      <c r="Y48" s="154"/>
      <c r="Z48" s="54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55"/>
      <c r="AL48" s="155"/>
    </row>
    <row r="49" spans="2:38" x14ac:dyDescent="0.35">
      <c r="B49" s="144" t="s">
        <v>152</v>
      </c>
      <c r="C49" s="145" t="s">
        <v>153</v>
      </c>
      <c r="D49" s="156"/>
      <c r="E49" s="147">
        <v>115.5</v>
      </c>
      <c r="F49" s="147" t="s">
        <v>129</v>
      </c>
      <c r="G49" s="15"/>
      <c r="H49" s="148"/>
      <c r="I49" s="149">
        <f t="shared" si="19"/>
        <v>0</v>
      </c>
      <c r="J49" s="149">
        <f t="shared" si="20"/>
        <v>0</v>
      </c>
      <c r="K49" s="15"/>
      <c r="L49" s="150">
        <f t="shared" si="21"/>
        <v>0</v>
      </c>
      <c r="M49" s="151">
        <f t="shared" si="22"/>
        <v>0</v>
      </c>
      <c r="N49" s="151">
        <f t="shared" si="23"/>
        <v>0</v>
      </c>
      <c r="O49" s="15"/>
      <c r="P49" s="157"/>
      <c r="Q49" s="157"/>
      <c r="R49" s="157"/>
      <c r="S49" s="157"/>
      <c r="T49" s="157"/>
      <c r="U49" s="158"/>
      <c r="V49" s="159"/>
      <c r="W49" s="159"/>
      <c r="X49" s="159"/>
      <c r="Y49" s="159"/>
      <c r="Z49" s="54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1"/>
      <c r="AL49" s="161"/>
    </row>
    <row r="50" spans="2:38" ht="15" customHeight="1" x14ac:dyDescent="0.35">
      <c r="B50" s="144" t="s">
        <v>152</v>
      </c>
      <c r="C50" s="145" t="s">
        <v>153</v>
      </c>
      <c r="D50" s="156"/>
      <c r="E50" s="147">
        <v>115.5</v>
      </c>
      <c r="F50" s="147" t="s">
        <v>129</v>
      </c>
      <c r="G50" s="15"/>
      <c r="H50" s="148"/>
      <c r="I50" s="149">
        <f t="shared" si="19"/>
        <v>0</v>
      </c>
      <c r="J50" s="149">
        <f t="shared" si="20"/>
        <v>0</v>
      </c>
      <c r="K50" s="15"/>
      <c r="L50" s="150">
        <f t="shared" si="21"/>
        <v>0</v>
      </c>
      <c r="M50" s="151">
        <f t="shared" si="22"/>
        <v>0</v>
      </c>
      <c r="N50" s="151">
        <f t="shared" si="23"/>
        <v>0</v>
      </c>
      <c r="O50" s="15"/>
      <c r="P50" s="157"/>
      <c r="Q50" s="157"/>
      <c r="R50" s="157"/>
      <c r="S50" s="157"/>
      <c r="T50" s="157"/>
      <c r="U50" s="158"/>
      <c r="V50" s="159"/>
      <c r="W50" s="159"/>
      <c r="X50" s="159"/>
      <c r="Y50" s="159"/>
      <c r="Z50" s="54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1"/>
      <c r="AL50" s="161"/>
    </row>
    <row r="51" spans="2:38" ht="15" customHeight="1" x14ac:dyDescent="0.35">
      <c r="B51" s="144" t="s">
        <v>152</v>
      </c>
      <c r="C51" s="145" t="s">
        <v>153</v>
      </c>
      <c r="D51" s="156"/>
      <c r="E51" s="147">
        <v>115.5</v>
      </c>
      <c r="F51" s="147" t="s">
        <v>129</v>
      </c>
      <c r="G51" s="15"/>
      <c r="H51" s="148"/>
      <c r="I51" s="149">
        <f t="shared" si="19"/>
        <v>0</v>
      </c>
      <c r="J51" s="149">
        <f t="shared" si="20"/>
        <v>0</v>
      </c>
      <c r="K51" s="15"/>
      <c r="L51" s="150">
        <f t="shared" si="21"/>
        <v>0</v>
      </c>
      <c r="M51" s="151">
        <f t="shared" si="22"/>
        <v>0</v>
      </c>
      <c r="N51" s="151">
        <f t="shared" si="23"/>
        <v>0</v>
      </c>
      <c r="O51" s="15"/>
      <c r="P51" s="157"/>
      <c r="Q51" s="157"/>
      <c r="R51" s="157"/>
      <c r="S51" s="157"/>
      <c r="T51" s="157"/>
      <c r="U51" s="158"/>
      <c r="V51" s="159"/>
      <c r="W51" s="159"/>
      <c r="X51" s="159"/>
      <c r="Y51" s="159"/>
      <c r="Z51" s="54"/>
      <c r="AA51" s="160"/>
      <c r="AB51" s="160"/>
      <c r="AC51" s="160"/>
      <c r="AD51" s="160"/>
      <c r="AE51" s="160"/>
      <c r="AF51" s="160"/>
      <c r="AG51" s="160"/>
      <c r="AH51" s="160"/>
      <c r="AI51" s="160"/>
      <c r="AJ51" s="160"/>
      <c r="AK51" s="161"/>
      <c r="AL51" s="161"/>
    </row>
    <row r="52" spans="2:38" ht="15" customHeight="1" x14ac:dyDescent="0.35">
      <c r="B52" s="144" t="s">
        <v>152</v>
      </c>
      <c r="C52" s="145" t="s">
        <v>153</v>
      </c>
      <c r="D52" s="156"/>
      <c r="E52" s="147">
        <v>115.5</v>
      </c>
      <c r="F52" s="147" t="s">
        <v>129</v>
      </c>
      <c r="G52" s="15"/>
      <c r="H52" s="148"/>
      <c r="I52" s="149">
        <f t="shared" si="19"/>
        <v>0</v>
      </c>
      <c r="J52" s="149">
        <f t="shared" si="20"/>
        <v>0</v>
      </c>
      <c r="K52" s="15"/>
      <c r="L52" s="150">
        <f t="shared" si="21"/>
        <v>0</v>
      </c>
      <c r="M52" s="151">
        <f t="shared" si="22"/>
        <v>0</v>
      </c>
      <c r="N52" s="151">
        <f t="shared" si="23"/>
        <v>0</v>
      </c>
      <c r="O52" s="15"/>
      <c r="P52" s="157"/>
      <c r="Q52" s="157"/>
      <c r="R52" s="157"/>
      <c r="S52" s="157"/>
      <c r="T52" s="157"/>
      <c r="U52" s="158"/>
      <c r="V52" s="159"/>
      <c r="W52" s="159"/>
      <c r="X52" s="159"/>
      <c r="Y52" s="159"/>
      <c r="Z52" s="54"/>
      <c r="AA52" s="160"/>
      <c r="AB52" s="160"/>
      <c r="AC52" s="160"/>
      <c r="AD52" s="160"/>
      <c r="AE52" s="160"/>
      <c r="AF52" s="160"/>
      <c r="AG52" s="160"/>
      <c r="AH52" s="160"/>
      <c r="AI52" s="160"/>
      <c r="AJ52" s="160"/>
      <c r="AK52" s="161"/>
      <c r="AL52" s="161"/>
    </row>
    <row r="53" spans="2:38" ht="15" customHeight="1" x14ac:dyDescent="0.35">
      <c r="B53" s="144" t="s">
        <v>152</v>
      </c>
      <c r="C53" s="145" t="s">
        <v>153</v>
      </c>
      <c r="D53" s="156"/>
      <c r="E53" s="147">
        <v>115.5</v>
      </c>
      <c r="F53" s="147" t="s">
        <v>129</v>
      </c>
      <c r="G53" s="15"/>
      <c r="H53" s="148"/>
      <c r="I53" s="149">
        <f t="shared" si="19"/>
        <v>0</v>
      </c>
      <c r="J53" s="149">
        <f t="shared" si="20"/>
        <v>0</v>
      </c>
      <c r="K53" s="15"/>
      <c r="L53" s="150">
        <f t="shared" si="21"/>
        <v>0</v>
      </c>
      <c r="M53" s="151">
        <f t="shared" si="22"/>
        <v>0</v>
      </c>
      <c r="N53" s="151">
        <f t="shared" si="23"/>
        <v>0</v>
      </c>
      <c r="O53" s="15"/>
      <c r="P53" s="157"/>
      <c r="Q53" s="157"/>
      <c r="R53" s="157"/>
      <c r="S53" s="157"/>
      <c r="T53" s="157"/>
      <c r="U53" s="158"/>
      <c r="V53" s="159"/>
      <c r="W53" s="159"/>
      <c r="X53" s="159"/>
      <c r="Y53" s="159"/>
      <c r="Z53" s="54"/>
      <c r="AA53" s="160"/>
      <c r="AB53" s="160"/>
      <c r="AC53" s="160"/>
      <c r="AD53" s="160"/>
      <c r="AE53" s="160"/>
      <c r="AF53" s="160"/>
      <c r="AG53" s="160"/>
      <c r="AH53" s="160"/>
      <c r="AI53" s="160"/>
      <c r="AJ53" s="160"/>
      <c r="AK53" s="161"/>
      <c r="AL53" s="161"/>
    </row>
    <row r="54" spans="2:38" ht="15" customHeight="1" x14ac:dyDescent="0.35">
      <c r="B54" s="144" t="s">
        <v>152</v>
      </c>
      <c r="C54" s="145" t="s">
        <v>153</v>
      </c>
      <c r="D54" s="156"/>
      <c r="E54" s="147">
        <v>115.5</v>
      </c>
      <c r="F54" s="147" t="s">
        <v>129</v>
      </c>
      <c r="G54" s="15"/>
      <c r="H54" s="148"/>
      <c r="I54" s="149">
        <f t="shared" si="19"/>
        <v>0</v>
      </c>
      <c r="J54" s="149">
        <f t="shared" si="20"/>
        <v>0</v>
      </c>
      <c r="K54" s="15"/>
      <c r="L54" s="150">
        <f t="shared" si="21"/>
        <v>0</v>
      </c>
      <c r="M54" s="151">
        <f t="shared" si="22"/>
        <v>0</v>
      </c>
      <c r="N54" s="151">
        <f t="shared" si="23"/>
        <v>0</v>
      </c>
      <c r="O54" s="15"/>
      <c r="P54" s="157"/>
      <c r="Q54" s="157"/>
      <c r="R54" s="157"/>
      <c r="S54" s="157"/>
      <c r="T54" s="157"/>
      <c r="U54" s="158"/>
      <c r="V54" s="159"/>
      <c r="W54" s="159"/>
      <c r="X54" s="159"/>
      <c r="Y54" s="159"/>
      <c r="Z54" s="54"/>
      <c r="AA54" s="160"/>
      <c r="AB54" s="160"/>
      <c r="AC54" s="160"/>
      <c r="AD54" s="160"/>
      <c r="AE54" s="160"/>
      <c r="AF54" s="160"/>
      <c r="AG54" s="160"/>
      <c r="AH54" s="160"/>
      <c r="AI54" s="160"/>
      <c r="AJ54" s="160"/>
      <c r="AK54" s="161"/>
      <c r="AL54" s="161"/>
    </row>
    <row r="55" spans="2:38" ht="15" customHeight="1" x14ac:dyDescent="0.35">
      <c r="B55" s="144" t="s">
        <v>152</v>
      </c>
      <c r="C55" s="145" t="s">
        <v>153</v>
      </c>
      <c r="D55" s="156"/>
      <c r="E55" s="147">
        <v>115.5</v>
      </c>
      <c r="F55" s="147" t="s">
        <v>129</v>
      </c>
      <c r="G55" s="15"/>
      <c r="H55" s="148"/>
      <c r="I55" s="149">
        <f t="shared" si="19"/>
        <v>0</v>
      </c>
      <c r="J55" s="149">
        <f t="shared" si="20"/>
        <v>0</v>
      </c>
      <c r="K55" s="15"/>
      <c r="L55" s="150">
        <f t="shared" si="21"/>
        <v>0</v>
      </c>
      <c r="M55" s="151">
        <f t="shared" si="22"/>
        <v>0</v>
      </c>
      <c r="N55" s="151">
        <f t="shared" si="23"/>
        <v>0</v>
      </c>
      <c r="O55" s="15"/>
      <c r="P55" s="157"/>
      <c r="Q55" s="157"/>
      <c r="R55" s="157"/>
      <c r="S55" s="157"/>
      <c r="T55" s="157"/>
      <c r="U55" s="158"/>
      <c r="V55" s="159"/>
      <c r="W55" s="159"/>
      <c r="X55" s="159"/>
      <c r="Y55" s="159"/>
      <c r="Z55" s="54"/>
      <c r="AA55" s="160"/>
      <c r="AB55" s="160"/>
      <c r="AC55" s="160"/>
      <c r="AD55" s="160"/>
      <c r="AE55" s="160"/>
      <c r="AF55" s="160"/>
      <c r="AG55" s="160"/>
      <c r="AH55" s="160"/>
      <c r="AI55" s="160"/>
      <c r="AJ55" s="160"/>
      <c r="AK55" s="161"/>
      <c r="AL55" s="161"/>
    </row>
    <row r="56" spans="2:38" ht="15" customHeight="1" x14ac:dyDescent="0.35">
      <c r="B56" s="144"/>
      <c r="C56" s="164"/>
      <c r="D56" s="165"/>
      <c r="E56" s="166"/>
      <c r="F56" s="166"/>
      <c r="G56" s="15"/>
      <c r="H56" s="167"/>
      <c r="I56" s="168"/>
      <c r="J56" s="168"/>
      <c r="K56" s="15"/>
      <c r="L56" s="169"/>
      <c r="M56" s="170"/>
      <c r="N56" s="170"/>
      <c r="O56" s="15"/>
      <c r="P56" s="157"/>
      <c r="Q56" s="157"/>
      <c r="R56" s="157"/>
      <c r="S56" s="157"/>
      <c r="T56" s="157"/>
      <c r="U56" s="158"/>
      <c r="V56" s="159"/>
      <c r="W56" s="159"/>
      <c r="X56" s="159"/>
      <c r="Y56" s="159"/>
      <c r="Z56" s="54"/>
      <c r="AA56" s="160"/>
      <c r="AB56" s="160"/>
      <c r="AC56" s="160"/>
      <c r="AD56" s="160"/>
      <c r="AE56" s="160"/>
      <c r="AF56" s="160"/>
      <c r="AG56" s="160"/>
      <c r="AH56" s="160"/>
      <c r="AI56" s="160"/>
      <c r="AJ56" s="160"/>
      <c r="AK56" s="161"/>
      <c r="AL56" s="161"/>
    </row>
    <row r="57" spans="2:38" ht="15" customHeight="1" x14ac:dyDescent="0.35">
      <c r="B57" s="171"/>
      <c r="C57" s="172" t="s">
        <v>150</v>
      </c>
      <c r="D57" s="173"/>
      <c r="E57" s="174"/>
      <c r="F57" s="174"/>
      <c r="G57" s="15"/>
      <c r="H57" s="175">
        <f>SUBTOTAL(9,H48:H56)</f>
        <v>0</v>
      </c>
      <c r="I57" s="175">
        <f>SUBTOTAL(9,I48:I56)</f>
        <v>0</v>
      </c>
      <c r="J57" s="176">
        <f>SUBTOTAL(9,J48:J56)</f>
        <v>0</v>
      </c>
      <c r="K57" s="60"/>
      <c r="L57" s="177">
        <f>SUBTOTAL(9,L48:L56)</f>
        <v>0</v>
      </c>
      <c r="M57" s="178">
        <f>SUBTOTAL(9,M48:M56)</f>
        <v>0</v>
      </c>
      <c r="N57" s="178">
        <f>SUBTOTAL(9,N48:N56)</f>
        <v>0</v>
      </c>
      <c r="O57" s="15"/>
      <c r="P57" s="181"/>
      <c r="Q57" s="181"/>
      <c r="R57" s="181"/>
      <c r="S57" s="181"/>
      <c r="T57" s="181"/>
      <c r="U57" s="182"/>
      <c r="V57" s="183"/>
      <c r="W57" s="183"/>
      <c r="X57" s="183"/>
      <c r="Y57" s="183"/>
      <c r="Z57" s="54"/>
      <c r="AA57" s="184"/>
      <c r="AB57" s="184"/>
      <c r="AC57" s="184"/>
      <c r="AD57" s="184"/>
      <c r="AE57" s="184"/>
      <c r="AF57" s="184"/>
      <c r="AG57" s="184"/>
      <c r="AH57" s="184"/>
      <c r="AI57" s="184"/>
      <c r="AJ57" s="184"/>
      <c r="AK57" s="180"/>
      <c r="AL57" s="180"/>
    </row>
    <row r="58" spans="2:38" ht="15" customHeight="1" x14ac:dyDescent="0.35">
      <c r="D58" s="185"/>
    </row>
    <row r="59" spans="2:38" ht="15" customHeight="1" x14ac:dyDescent="0.35">
      <c r="B59" s="171"/>
      <c r="C59" s="172" t="s">
        <v>154</v>
      </c>
      <c r="D59" s="173"/>
      <c r="E59" s="174"/>
      <c r="F59" s="186"/>
      <c r="G59" s="15"/>
      <c r="H59" s="175">
        <f>SUBTOTAL(9,H11:H58)-H34</f>
        <v>0</v>
      </c>
      <c r="I59" s="175">
        <f>SUBTOTAL(9,I11:I58)-I34</f>
        <v>81</v>
      </c>
      <c r="J59" s="176">
        <f>SUBTOTAL(9,J11:J58)-J34</f>
        <v>81</v>
      </c>
      <c r="K59" s="60"/>
      <c r="L59" s="187">
        <f>SUBTOTAL(9,L11:L58)</f>
        <v>0</v>
      </c>
      <c r="M59" s="187">
        <f>SUBTOTAL(9,M11:M58)</f>
        <v>25349.850000000002</v>
      </c>
      <c r="N59" s="187">
        <f>SUBTOTAL(9,N11:N58)</f>
        <v>25349.850000000002</v>
      </c>
      <c r="O59" s="15"/>
      <c r="P59" s="175">
        <f t="shared" ref="P59:Y59" si="24">SUBTOTAL(9,P11:P58)-P34</f>
        <v>45</v>
      </c>
      <c r="Q59" s="175">
        <f t="shared" si="24"/>
        <v>27</v>
      </c>
      <c r="R59" s="175">
        <f t="shared" si="24"/>
        <v>9</v>
      </c>
      <c r="S59" s="175">
        <f t="shared" si="24"/>
        <v>0</v>
      </c>
      <c r="T59" s="175">
        <f t="shared" si="24"/>
        <v>0</v>
      </c>
      <c r="U59" s="175">
        <f t="shared" si="24"/>
        <v>0</v>
      </c>
      <c r="V59" s="175">
        <f t="shared" si="24"/>
        <v>0</v>
      </c>
      <c r="W59" s="175">
        <f t="shared" si="24"/>
        <v>0</v>
      </c>
      <c r="X59" s="175">
        <f t="shared" si="24"/>
        <v>0</v>
      </c>
      <c r="Y59" s="175">
        <f t="shared" si="24"/>
        <v>0</v>
      </c>
      <c r="Z59" s="54"/>
      <c r="AA59" s="187">
        <f t="shared" ref="AA59:AJ59" si="25">SUBTOTAL(9,AA11:AA58)</f>
        <v>13950.75</v>
      </c>
      <c r="AB59" s="187">
        <f t="shared" si="25"/>
        <v>8370.4500000000007</v>
      </c>
      <c r="AC59" s="187">
        <f t="shared" si="25"/>
        <v>3028.65</v>
      </c>
      <c r="AD59" s="187">
        <f t="shared" si="25"/>
        <v>0</v>
      </c>
      <c r="AE59" s="187">
        <f t="shared" si="25"/>
        <v>0</v>
      </c>
      <c r="AF59" s="187">
        <f t="shared" si="25"/>
        <v>0</v>
      </c>
      <c r="AG59" s="187">
        <f t="shared" si="25"/>
        <v>0</v>
      </c>
      <c r="AH59" s="187">
        <f t="shared" si="25"/>
        <v>0</v>
      </c>
      <c r="AI59" s="187">
        <f t="shared" si="25"/>
        <v>0</v>
      </c>
      <c r="AJ59" s="187">
        <f t="shared" si="25"/>
        <v>0</v>
      </c>
    </row>
  </sheetData>
  <mergeCells count="5">
    <mergeCell ref="P9:Y9"/>
    <mergeCell ref="AA9:AJ9"/>
    <mergeCell ref="AL12:AL16"/>
    <mergeCell ref="AL24:AL31"/>
    <mergeCell ref="AL36:AL43"/>
  </mergeCells>
  <conditionalFormatting sqref="D12:D13 D15:D19 D21:D22">
    <cfRule type="duplicateValues" dxfId="14" priority="9"/>
  </conditionalFormatting>
  <conditionalFormatting sqref="D14">
    <cfRule type="duplicateValues" dxfId="13" priority="4"/>
  </conditionalFormatting>
  <conditionalFormatting sqref="D20">
    <cfRule type="duplicateValues" dxfId="12" priority="2"/>
  </conditionalFormatting>
  <conditionalFormatting sqref="D24:D31 D33:D34">
    <cfRule type="duplicateValues" dxfId="11" priority="8"/>
  </conditionalFormatting>
  <conditionalFormatting sqref="D32">
    <cfRule type="duplicateValues" dxfId="10" priority="3"/>
  </conditionalFormatting>
  <conditionalFormatting sqref="D36:D46">
    <cfRule type="duplicateValues" dxfId="9" priority="7"/>
  </conditionalFormatting>
  <conditionalFormatting sqref="D48:D57">
    <cfRule type="duplicateValues" dxfId="8" priority="6"/>
  </conditionalFormatting>
  <conditionalFormatting sqref="D59">
    <cfRule type="duplicateValues" dxfId="7" priority="5"/>
  </conditionalFormatting>
  <pageMargins left="0.7" right="0.7" top="0.75" bottom="0.75" header="0.511811023622047" footer="0.511811023622047"/>
  <pageSetup paperSize="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A1:CR20"/>
  <sheetViews>
    <sheetView zoomScaleNormal="100" workbookViewId="0">
      <pane xSplit="5" topLeftCell="F1" activePane="topRight" state="frozen"/>
      <selection pane="topRight" activeCell="I19" sqref="I19"/>
    </sheetView>
  </sheetViews>
  <sheetFormatPr defaultColWidth="8.6328125" defaultRowHeight="14.5" outlineLevelCol="1" x14ac:dyDescent="0.35"/>
  <cols>
    <col min="1" max="1" width="4.453125" customWidth="1"/>
    <col min="2" max="2" width="16.7265625" customWidth="1"/>
    <col min="3" max="3" width="11.1796875" customWidth="1"/>
    <col min="4" max="4" width="19.1796875" customWidth="1"/>
    <col min="6" max="6" width="3.54296875" customWidth="1"/>
    <col min="7" max="26" width="5.7265625" customWidth="1"/>
    <col min="27" max="29" width="4.7265625" customWidth="1"/>
    <col min="30" max="63" width="5.7265625" customWidth="1"/>
    <col min="64" max="64" width="3.26953125" customWidth="1"/>
    <col min="66" max="66" width="14.453125" customWidth="1"/>
    <col min="68" max="68" width="1.7265625" customWidth="1"/>
    <col min="69" max="71" width="12.26953125" customWidth="1"/>
    <col min="72" max="72" width="3.54296875" hidden="1" customWidth="1" outlineLevel="1"/>
    <col min="73" max="73" width="9.1796875" hidden="1" customWidth="1" outlineLevel="1"/>
    <col min="74" max="74" width="10.26953125" hidden="1" customWidth="1" outlineLevel="1"/>
    <col min="75" max="82" width="9.1796875" hidden="1" customWidth="1" outlineLevel="1"/>
    <col min="83" max="83" width="2" hidden="1" customWidth="1" outlineLevel="1"/>
    <col min="84" max="84" width="10.26953125" hidden="1" customWidth="1" outlineLevel="1"/>
    <col min="85" max="86" width="12.26953125" hidden="1" customWidth="1" outlineLevel="1"/>
    <col min="87" max="93" width="9.1796875" hidden="1" customWidth="1" outlineLevel="1"/>
    <col min="94" max="94" width="7.1796875" customWidth="1"/>
    <col min="95" max="95" width="22.453125" customWidth="1"/>
    <col min="96" max="96" width="29.81640625" customWidth="1"/>
  </cols>
  <sheetData>
    <row r="1" spans="2:96" x14ac:dyDescent="0.35">
      <c r="B1" s="60" t="s">
        <v>48</v>
      </c>
      <c r="C1" s="15" t="str">
        <f>Payment_Summary!C3</f>
        <v>PH-AA-0001</v>
      </c>
    </row>
    <row r="2" spans="2:96" x14ac:dyDescent="0.35">
      <c r="B2" s="60" t="s">
        <v>49</v>
      </c>
      <c r="C2" s="15" t="str">
        <f>Payment_Summary!C4</f>
        <v xml:space="preserve">PLANT HIRE SERVICES FOR BENTHIC REMOVAL </v>
      </c>
    </row>
    <row r="3" spans="2:96" x14ac:dyDescent="0.35">
      <c r="B3" s="60" t="s">
        <v>50</v>
      </c>
      <c r="C3" s="15" t="str">
        <f>Payment_Summary!C5</f>
        <v>Rirratjingu Enterprises Pty Ltd (ACN 56 639 548 137)</v>
      </c>
    </row>
    <row r="4" spans="2:96" x14ac:dyDescent="0.35">
      <c r="B4" s="60" t="s">
        <v>51</v>
      </c>
      <c r="C4" s="15" t="str">
        <f>Payment_Summary!C6</f>
        <v>Z-2264070.04.50.30.01</v>
      </c>
    </row>
    <row r="5" spans="2:96" x14ac:dyDescent="0.35">
      <c r="B5" s="60" t="s">
        <v>52</v>
      </c>
      <c r="C5" s="15" t="str">
        <f>Payment_Summary!C7</f>
        <v>PC004</v>
      </c>
    </row>
    <row r="6" spans="2:96" x14ac:dyDescent="0.35">
      <c r="B6" s="60" t="s">
        <v>53</v>
      </c>
      <c r="C6" s="15" t="str">
        <f>Payment_Summary!C8</f>
        <v>06/12/25 - 31/01/25</v>
      </c>
    </row>
    <row r="8" spans="2:96" x14ac:dyDescent="0.35">
      <c r="B8" s="60" t="s">
        <v>155</v>
      </c>
    </row>
    <row r="10" spans="2:96" s="15" customFormat="1" ht="42" customHeight="1" x14ac:dyDescent="0.35">
      <c r="B10" s="66" t="s">
        <v>103</v>
      </c>
      <c r="C10" s="66" t="s">
        <v>104</v>
      </c>
      <c r="D10" s="66" t="s">
        <v>105</v>
      </c>
      <c r="E10" s="138" t="s">
        <v>106</v>
      </c>
      <c r="G10" s="188">
        <v>45997</v>
      </c>
      <c r="H10" s="188">
        <f t="shared" ref="H10:AM10" si="0">G10+1</f>
        <v>45998</v>
      </c>
      <c r="I10" s="188">
        <f t="shared" si="0"/>
        <v>45999</v>
      </c>
      <c r="J10" s="188">
        <f t="shared" si="0"/>
        <v>46000</v>
      </c>
      <c r="K10" s="188">
        <f t="shared" si="0"/>
        <v>46001</v>
      </c>
      <c r="L10" s="188">
        <f t="shared" si="0"/>
        <v>46002</v>
      </c>
      <c r="M10" s="188">
        <f t="shared" si="0"/>
        <v>46003</v>
      </c>
      <c r="N10" s="188">
        <f t="shared" si="0"/>
        <v>46004</v>
      </c>
      <c r="O10" s="188">
        <f t="shared" si="0"/>
        <v>46005</v>
      </c>
      <c r="P10" s="188">
        <f t="shared" si="0"/>
        <v>46006</v>
      </c>
      <c r="Q10" s="188">
        <f t="shared" si="0"/>
        <v>46007</v>
      </c>
      <c r="R10" s="188">
        <f t="shared" si="0"/>
        <v>46008</v>
      </c>
      <c r="S10" s="188">
        <f t="shared" si="0"/>
        <v>46009</v>
      </c>
      <c r="T10" s="188">
        <f t="shared" si="0"/>
        <v>46010</v>
      </c>
      <c r="U10" s="188">
        <f t="shared" si="0"/>
        <v>46011</v>
      </c>
      <c r="V10" s="188">
        <f t="shared" si="0"/>
        <v>46012</v>
      </c>
      <c r="W10" s="188">
        <f t="shared" si="0"/>
        <v>46013</v>
      </c>
      <c r="X10" s="188">
        <f t="shared" si="0"/>
        <v>46014</v>
      </c>
      <c r="Y10" s="188">
        <f t="shared" si="0"/>
        <v>46015</v>
      </c>
      <c r="Z10" s="188">
        <f t="shared" si="0"/>
        <v>46016</v>
      </c>
      <c r="AA10" s="188">
        <f t="shared" si="0"/>
        <v>46017</v>
      </c>
      <c r="AB10" s="188">
        <f t="shared" si="0"/>
        <v>46018</v>
      </c>
      <c r="AC10" s="188">
        <f t="shared" si="0"/>
        <v>46019</v>
      </c>
      <c r="AD10" s="188">
        <f t="shared" si="0"/>
        <v>46020</v>
      </c>
      <c r="AE10" s="188">
        <f t="shared" si="0"/>
        <v>46021</v>
      </c>
      <c r="AF10" s="188">
        <f t="shared" si="0"/>
        <v>46022</v>
      </c>
      <c r="AG10" s="188">
        <f t="shared" si="0"/>
        <v>46023</v>
      </c>
      <c r="AH10" s="188">
        <f t="shared" si="0"/>
        <v>46024</v>
      </c>
      <c r="AI10" s="188">
        <f t="shared" si="0"/>
        <v>46025</v>
      </c>
      <c r="AJ10" s="188">
        <f t="shared" si="0"/>
        <v>46026</v>
      </c>
      <c r="AK10" s="188">
        <f t="shared" si="0"/>
        <v>46027</v>
      </c>
      <c r="AL10" s="188">
        <f t="shared" si="0"/>
        <v>46028</v>
      </c>
      <c r="AM10" s="188">
        <f t="shared" si="0"/>
        <v>46029</v>
      </c>
      <c r="AN10" s="188">
        <f t="shared" ref="AN10:BK10" si="1">AM10+1</f>
        <v>46030</v>
      </c>
      <c r="AO10" s="188">
        <f t="shared" si="1"/>
        <v>46031</v>
      </c>
      <c r="AP10" s="188">
        <f t="shared" si="1"/>
        <v>46032</v>
      </c>
      <c r="AQ10" s="188">
        <f t="shared" si="1"/>
        <v>46033</v>
      </c>
      <c r="AR10" s="188">
        <f t="shared" si="1"/>
        <v>46034</v>
      </c>
      <c r="AS10" s="188">
        <f t="shared" si="1"/>
        <v>46035</v>
      </c>
      <c r="AT10" s="188">
        <f t="shared" si="1"/>
        <v>46036</v>
      </c>
      <c r="AU10" s="188">
        <f t="shared" si="1"/>
        <v>46037</v>
      </c>
      <c r="AV10" s="188">
        <f t="shared" si="1"/>
        <v>46038</v>
      </c>
      <c r="AW10" s="188">
        <f t="shared" si="1"/>
        <v>46039</v>
      </c>
      <c r="AX10" s="188">
        <f t="shared" si="1"/>
        <v>46040</v>
      </c>
      <c r="AY10" s="188">
        <f t="shared" si="1"/>
        <v>46041</v>
      </c>
      <c r="AZ10" s="188">
        <f t="shared" si="1"/>
        <v>46042</v>
      </c>
      <c r="BA10" s="188">
        <f t="shared" si="1"/>
        <v>46043</v>
      </c>
      <c r="BB10" s="188">
        <f t="shared" si="1"/>
        <v>46044</v>
      </c>
      <c r="BC10" s="188">
        <f t="shared" si="1"/>
        <v>46045</v>
      </c>
      <c r="BD10" s="188">
        <f t="shared" si="1"/>
        <v>46046</v>
      </c>
      <c r="BE10" s="188">
        <f t="shared" si="1"/>
        <v>46047</v>
      </c>
      <c r="BF10" s="188">
        <f t="shared" si="1"/>
        <v>46048</v>
      </c>
      <c r="BG10" s="188">
        <f t="shared" si="1"/>
        <v>46049</v>
      </c>
      <c r="BH10" s="188">
        <f t="shared" si="1"/>
        <v>46050</v>
      </c>
      <c r="BI10" s="188">
        <f t="shared" si="1"/>
        <v>46051</v>
      </c>
      <c r="BJ10" s="188">
        <f t="shared" si="1"/>
        <v>46052</v>
      </c>
      <c r="BK10" s="188">
        <f t="shared" si="1"/>
        <v>46053</v>
      </c>
      <c r="BM10" s="70" t="s">
        <v>156</v>
      </c>
      <c r="BN10" s="70" t="s">
        <v>109</v>
      </c>
      <c r="BO10" s="70" t="s">
        <v>110</v>
      </c>
      <c r="BQ10" s="70" t="s">
        <v>111</v>
      </c>
      <c r="BR10" s="70" t="s">
        <v>112</v>
      </c>
      <c r="BS10" s="70" t="s">
        <v>113</v>
      </c>
      <c r="BU10" s="71" t="s">
        <v>114</v>
      </c>
      <c r="BV10" s="71" t="s">
        <v>115</v>
      </c>
      <c r="BW10" s="71" t="s">
        <v>116</v>
      </c>
      <c r="BX10" s="71" t="s">
        <v>2</v>
      </c>
      <c r="BY10" s="71" t="s">
        <v>117</v>
      </c>
      <c r="BZ10" s="71" t="s">
        <v>118</v>
      </c>
      <c r="CA10" s="71" t="s">
        <v>119</v>
      </c>
      <c r="CB10" s="71" t="s">
        <v>120</v>
      </c>
      <c r="CC10" s="71" t="s">
        <v>121</v>
      </c>
      <c r="CD10" s="71" t="s">
        <v>122</v>
      </c>
      <c r="CE10" s="54"/>
      <c r="CF10" s="71" t="str">
        <f t="shared" ref="CF10:CO10" si="2">BU10</f>
        <v>PC001</v>
      </c>
      <c r="CG10" s="71" t="str">
        <f t="shared" si="2"/>
        <v>PC002</v>
      </c>
      <c r="CH10" s="71" t="str">
        <f t="shared" si="2"/>
        <v>PC003</v>
      </c>
      <c r="CI10" s="71" t="str">
        <f t="shared" si="2"/>
        <v>PC004</v>
      </c>
      <c r="CJ10" s="71" t="str">
        <f t="shared" si="2"/>
        <v>PC005</v>
      </c>
      <c r="CK10" s="71" t="str">
        <f t="shared" si="2"/>
        <v>PC006</v>
      </c>
      <c r="CL10" s="71" t="str">
        <f t="shared" si="2"/>
        <v>PC007</v>
      </c>
      <c r="CM10" s="71" t="str">
        <f t="shared" si="2"/>
        <v>PC008</v>
      </c>
      <c r="CN10" s="71" t="str">
        <f t="shared" si="2"/>
        <v>PC009</v>
      </c>
      <c r="CO10" s="71" t="str">
        <f t="shared" si="2"/>
        <v>PC010</v>
      </c>
      <c r="CP10" s="54"/>
      <c r="CQ10" s="139" t="s">
        <v>123</v>
      </c>
      <c r="CR10" s="139" t="s">
        <v>124</v>
      </c>
    </row>
    <row r="11" spans="2:96" s="15" customFormat="1" ht="18" customHeight="1" x14ac:dyDescent="0.35">
      <c r="B11" s="189"/>
      <c r="C11" s="190"/>
      <c r="D11" s="140"/>
      <c r="E11" s="142"/>
      <c r="G11" s="191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  <c r="AG11" s="140"/>
      <c r="AH11" s="140"/>
      <c r="AI11" s="140"/>
      <c r="AJ11" s="140"/>
      <c r="AK11" s="140"/>
      <c r="AL11" s="140"/>
      <c r="AM11" s="140"/>
      <c r="AN11" s="140"/>
      <c r="AO11" s="140"/>
      <c r="AP11" s="140"/>
      <c r="AQ11" s="140"/>
      <c r="AR11" s="140"/>
      <c r="AS11" s="140"/>
      <c r="AT11" s="140"/>
      <c r="AU11" s="140"/>
      <c r="AV11" s="140"/>
      <c r="AW11" s="140"/>
      <c r="AX11" s="140"/>
      <c r="AY11" s="140"/>
      <c r="AZ11" s="140"/>
      <c r="BA11" s="140"/>
      <c r="BB11" s="140"/>
      <c r="BC11" s="140"/>
      <c r="BD11" s="140"/>
      <c r="BE11" s="140"/>
      <c r="BF11" s="140"/>
      <c r="BG11" s="140"/>
      <c r="BH11" s="140"/>
      <c r="BI11" s="140"/>
      <c r="BJ11" s="140"/>
      <c r="BK11" s="140"/>
      <c r="BM11" s="140"/>
      <c r="BN11" s="140"/>
      <c r="BO11" s="140"/>
      <c r="BQ11" s="140"/>
      <c r="BR11" s="140"/>
      <c r="BS11" s="140"/>
      <c r="BU11" s="143"/>
      <c r="BV11" s="143"/>
      <c r="BW11" s="143"/>
      <c r="BX11" s="143"/>
      <c r="BY11" s="143"/>
      <c r="BZ11" s="143"/>
      <c r="CA11" s="143"/>
      <c r="CB11" s="143"/>
      <c r="CC11" s="143"/>
      <c r="CD11" s="143"/>
      <c r="CE11" s="54"/>
      <c r="CF11" s="143"/>
      <c r="CG11" s="143"/>
      <c r="CH11" s="143"/>
      <c r="CI11" s="143"/>
      <c r="CJ11" s="143"/>
      <c r="CK11" s="143"/>
      <c r="CL11" s="143"/>
      <c r="CM11" s="143"/>
      <c r="CN11" s="143"/>
      <c r="CO11" s="143"/>
      <c r="CP11" s="54"/>
      <c r="CQ11" s="192"/>
      <c r="CR11" s="193" t="s">
        <v>157</v>
      </c>
    </row>
    <row r="12" spans="2:96" s="15" customFormat="1" ht="15.75" customHeight="1" x14ac:dyDescent="0.35">
      <c r="B12" s="194" t="s">
        <v>158</v>
      </c>
      <c r="C12" s="195" t="s">
        <v>159</v>
      </c>
      <c r="D12" s="196" t="s">
        <v>128</v>
      </c>
      <c r="E12" s="197">
        <v>115.5</v>
      </c>
      <c r="G12" s="198"/>
      <c r="H12" s="198">
        <v>10</v>
      </c>
      <c r="I12" s="198">
        <v>10</v>
      </c>
      <c r="J12" s="198">
        <v>10</v>
      </c>
      <c r="K12" s="198">
        <v>11.5</v>
      </c>
      <c r="L12" s="198">
        <v>11.5</v>
      </c>
      <c r="M12" s="198">
        <v>11.5</v>
      </c>
      <c r="N12" s="198">
        <v>11.5</v>
      </c>
      <c r="O12" s="199">
        <v>10</v>
      </c>
      <c r="P12" s="198"/>
      <c r="Q12" s="198"/>
      <c r="R12" s="198"/>
      <c r="S12" s="198"/>
      <c r="T12" s="198"/>
      <c r="U12" s="198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>
        <v>10</v>
      </c>
      <c r="AL12" s="199">
        <v>11.5</v>
      </c>
      <c r="AM12" s="199">
        <v>11.5</v>
      </c>
      <c r="AN12" s="199">
        <v>11.5</v>
      </c>
      <c r="AO12" s="199">
        <v>10</v>
      </c>
      <c r="AP12" s="199">
        <v>10</v>
      </c>
      <c r="AQ12" s="199">
        <v>11.5</v>
      </c>
      <c r="AR12" s="199">
        <v>11.5</v>
      </c>
      <c r="AS12" s="199">
        <v>11.5</v>
      </c>
      <c r="AT12" s="199">
        <v>11.5</v>
      </c>
      <c r="AU12" s="199">
        <v>11.5</v>
      </c>
      <c r="AV12" s="199">
        <v>11.5</v>
      </c>
      <c r="AW12" s="199">
        <v>11.5</v>
      </c>
      <c r="AX12" s="199">
        <v>10</v>
      </c>
      <c r="AY12" s="199"/>
      <c r="AZ12" s="199"/>
      <c r="BA12" s="199"/>
      <c r="BB12" s="199"/>
      <c r="BC12" s="199"/>
      <c r="BD12" s="199"/>
      <c r="BE12" s="199"/>
      <c r="BF12" s="199"/>
      <c r="BG12" s="199"/>
      <c r="BH12" s="199"/>
      <c r="BI12" s="199"/>
      <c r="BJ12" s="199"/>
      <c r="BK12" s="199"/>
      <c r="BM12" s="200">
        <f t="shared" ref="BM12:BM18" si="3">SUM(G12:BL12)</f>
        <v>241</v>
      </c>
      <c r="BN12" s="201">
        <f t="shared" ref="BN12:BN18" si="4">SUM(BU12:CD12)</f>
        <v>587</v>
      </c>
      <c r="BO12" s="201">
        <f t="shared" ref="BO12:BO18" si="5">BM12+BN12</f>
        <v>828</v>
      </c>
      <c r="BQ12" s="202">
        <f t="shared" ref="BQ12:BQ18" si="6">E12*BM12</f>
        <v>27835.5</v>
      </c>
      <c r="BR12" s="203">
        <f t="shared" ref="BR12:BR18" si="7">SUM(CF12:CO12)</f>
        <v>67798.5</v>
      </c>
      <c r="BS12" s="203">
        <f t="shared" ref="BS12:BS18" si="8">+BQ12+BR12</f>
        <v>95634</v>
      </c>
      <c r="BU12" s="204">
        <v>16</v>
      </c>
      <c r="BV12" s="204">
        <v>269.5</v>
      </c>
      <c r="BW12" s="204">
        <v>301.5</v>
      </c>
      <c r="BX12" s="204"/>
      <c r="BY12" s="204"/>
      <c r="BZ12" s="205"/>
      <c r="CA12" s="206"/>
      <c r="CB12" s="206"/>
      <c r="CC12" s="206"/>
      <c r="CD12" s="206"/>
      <c r="CE12" s="54"/>
      <c r="CF12" s="207">
        <f>BU12*E12</f>
        <v>1848</v>
      </c>
      <c r="CG12" s="207">
        <v>31127.25</v>
      </c>
      <c r="CH12" s="207">
        <v>34823.25</v>
      </c>
      <c r="CI12" s="207"/>
      <c r="CJ12" s="207"/>
      <c r="CK12" s="207"/>
      <c r="CL12" s="207"/>
      <c r="CM12" s="207"/>
      <c r="CN12" s="207"/>
      <c r="CO12" s="207"/>
      <c r="CP12" s="54"/>
      <c r="CQ12" s="193"/>
      <c r="CR12" s="193"/>
    </row>
    <row r="13" spans="2:96" s="15" customFormat="1" ht="15.75" customHeight="1" x14ac:dyDescent="0.35">
      <c r="B13" s="194" t="s">
        <v>158</v>
      </c>
      <c r="C13" s="195" t="s">
        <v>159</v>
      </c>
      <c r="D13" s="196" t="s">
        <v>131</v>
      </c>
      <c r="E13" s="197">
        <v>115.5</v>
      </c>
      <c r="G13" s="198"/>
      <c r="H13" s="198">
        <v>10</v>
      </c>
      <c r="I13" s="198">
        <v>10</v>
      </c>
      <c r="J13" s="198">
        <v>10</v>
      </c>
      <c r="K13" s="198">
        <v>11.5</v>
      </c>
      <c r="L13" s="198">
        <v>11.5</v>
      </c>
      <c r="M13" s="198">
        <v>11.5</v>
      </c>
      <c r="N13" s="198"/>
      <c r="O13" s="199">
        <v>10</v>
      </c>
      <c r="P13" s="198"/>
      <c r="Q13" s="198"/>
      <c r="R13" s="198"/>
      <c r="S13" s="198"/>
      <c r="T13" s="198"/>
      <c r="U13" s="198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>
        <v>10</v>
      </c>
      <c r="AL13" s="199">
        <v>11.5</v>
      </c>
      <c r="AM13" s="199">
        <v>11.5</v>
      </c>
      <c r="AN13" s="199">
        <v>11.5</v>
      </c>
      <c r="AO13" s="199">
        <v>10</v>
      </c>
      <c r="AP13" s="199">
        <v>10</v>
      </c>
      <c r="AQ13" s="199">
        <v>11.5</v>
      </c>
      <c r="AR13" s="199">
        <v>11.5</v>
      </c>
      <c r="AS13" s="199">
        <v>11.5</v>
      </c>
      <c r="AT13" s="199">
        <v>11.5</v>
      </c>
      <c r="AU13" s="199">
        <v>11.5</v>
      </c>
      <c r="AV13" s="199">
        <v>11.5</v>
      </c>
      <c r="AW13" s="199">
        <v>11.5</v>
      </c>
      <c r="AX13" s="199">
        <v>10</v>
      </c>
      <c r="AY13" s="199"/>
      <c r="AZ13" s="199"/>
      <c r="BA13" s="199"/>
      <c r="BB13" s="199"/>
      <c r="BC13" s="199"/>
      <c r="BD13" s="199"/>
      <c r="BE13" s="199"/>
      <c r="BF13" s="199"/>
      <c r="BG13" s="199"/>
      <c r="BH13" s="199"/>
      <c r="BI13" s="199"/>
      <c r="BJ13" s="199"/>
      <c r="BK13" s="199"/>
      <c r="BM13" s="200">
        <f t="shared" si="3"/>
        <v>229.5</v>
      </c>
      <c r="BN13" s="201">
        <f t="shared" si="4"/>
        <v>535.5</v>
      </c>
      <c r="BO13" s="201">
        <f t="shared" si="5"/>
        <v>765</v>
      </c>
      <c r="BQ13" s="202">
        <f t="shared" si="6"/>
        <v>26507.25</v>
      </c>
      <c r="BR13" s="203">
        <f t="shared" si="7"/>
        <v>61850.25</v>
      </c>
      <c r="BS13" s="203">
        <f t="shared" si="8"/>
        <v>88357.5</v>
      </c>
      <c r="BU13" s="204">
        <v>16</v>
      </c>
      <c r="BV13" s="204">
        <v>228</v>
      </c>
      <c r="BW13" s="204">
        <v>291.5</v>
      </c>
      <c r="BX13" s="204"/>
      <c r="BY13" s="204"/>
      <c r="BZ13" s="205"/>
      <c r="CA13" s="206"/>
      <c r="CB13" s="206"/>
      <c r="CC13" s="206"/>
      <c r="CD13" s="206"/>
      <c r="CE13" s="54"/>
      <c r="CF13" s="207">
        <f>BU13*E13</f>
        <v>1848</v>
      </c>
      <c r="CG13" s="207">
        <v>26334</v>
      </c>
      <c r="CH13" s="207">
        <v>33668.25</v>
      </c>
      <c r="CI13" s="207"/>
      <c r="CJ13" s="207"/>
      <c r="CK13" s="207"/>
      <c r="CL13" s="207"/>
      <c r="CM13" s="207"/>
      <c r="CN13" s="207"/>
      <c r="CO13" s="207"/>
      <c r="CP13" s="54"/>
      <c r="CQ13" s="193"/>
      <c r="CR13" s="193"/>
    </row>
    <row r="14" spans="2:96" s="15" customFormat="1" ht="15.75" customHeight="1" x14ac:dyDescent="0.35">
      <c r="B14" s="194" t="s">
        <v>158</v>
      </c>
      <c r="C14" s="195" t="s">
        <v>159</v>
      </c>
      <c r="D14" s="196" t="s">
        <v>132</v>
      </c>
      <c r="E14" s="197">
        <v>115.5</v>
      </c>
      <c r="G14" s="198"/>
      <c r="H14" s="198">
        <v>0</v>
      </c>
      <c r="I14" s="198">
        <v>0</v>
      </c>
      <c r="J14" s="198"/>
      <c r="K14" s="198">
        <v>11.5</v>
      </c>
      <c r="L14" s="198">
        <v>11.5</v>
      </c>
      <c r="M14" s="198">
        <v>11.5</v>
      </c>
      <c r="N14" s="198">
        <v>11.5</v>
      </c>
      <c r="O14" s="199">
        <v>10</v>
      </c>
      <c r="P14" s="198"/>
      <c r="Q14" s="198"/>
      <c r="R14" s="198"/>
      <c r="S14" s="198"/>
      <c r="T14" s="198"/>
      <c r="U14" s="198"/>
      <c r="V14" s="199"/>
      <c r="W14" s="199"/>
      <c r="X14" s="199"/>
      <c r="Y14" s="199"/>
      <c r="Z14" s="199"/>
      <c r="AA14" s="199"/>
      <c r="AB14" s="199"/>
      <c r="AC14" s="199"/>
      <c r="AD14" s="199"/>
      <c r="AE14" s="208"/>
      <c r="AF14" s="199"/>
      <c r="AG14" s="199"/>
      <c r="AH14" s="199"/>
      <c r="AI14" s="199"/>
      <c r="AJ14" s="199"/>
      <c r="AK14" s="199">
        <v>10</v>
      </c>
      <c r="AL14" s="199">
        <v>11.5</v>
      </c>
      <c r="AM14" s="199">
        <v>11.5</v>
      </c>
      <c r="AN14" s="199">
        <v>11.5</v>
      </c>
      <c r="AO14" s="199">
        <v>10</v>
      </c>
      <c r="AP14" s="199">
        <v>10</v>
      </c>
      <c r="AQ14" s="199">
        <v>11.5</v>
      </c>
      <c r="AR14" s="199">
        <v>11.5</v>
      </c>
      <c r="AS14" s="199">
        <v>11.5</v>
      </c>
      <c r="AT14" s="199">
        <v>11.5</v>
      </c>
      <c r="AU14" s="199">
        <v>11.5</v>
      </c>
      <c r="AV14" s="199">
        <v>11.5</v>
      </c>
      <c r="AW14" s="199">
        <v>11.5</v>
      </c>
      <c r="AX14" s="199">
        <v>10</v>
      </c>
      <c r="AY14" s="199"/>
      <c r="AZ14" s="199"/>
      <c r="BA14" s="199"/>
      <c r="BB14" s="199"/>
      <c r="BC14" s="199"/>
      <c r="BD14" s="199"/>
      <c r="BE14" s="199"/>
      <c r="BF14" s="199"/>
      <c r="BG14" s="199"/>
      <c r="BH14" s="199"/>
      <c r="BI14" s="199"/>
      <c r="BJ14" s="199"/>
      <c r="BK14" s="199"/>
      <c r="BM14" s="200">
        <f t="shared" si="3"/>
        <v>211</v>
      </c>
      <c r="BN14" s="201">
        <f t="shared" si="4"/>
        <v>587</v>
      </c>
      <c r="BO14" s="201">
        <f t="shared" si="5"/>
        <v>798</v>
      </c>
      <c r="BQ14" s="202">
        <f t="shared" si="6"/>
        <v>24370.5</v>
      </c>
      <c r="BR14" s="203">
        <f t="shared" si="7"/>
        <v>67798.5</v>
      </c>
      <c r="BS14" s="203">
        <f t="shared" si="8"/>
        <v>92169</v>
      </c>
      <c r="BU14" s="204">
        <v>16</v>
      </c>
      <c r="BV14" s="204">
        <v>269.5</v>
      </c>
      <c r="BW14" s="204">
        <v>301.5</v>
      </c>
      <c r="BX14" s="204"/>
      <c r="BY14" s="204"/>
      <c r="BZ14" s="205"/>
      <c r="CA14" s="206"/>
      <c r="CB14" s="206"/>
      <c r="CC14" s="206"/>
      <c r="CD14" s="206"/>
      <c r="CE14" s="54"/>
      <c r="CF14" s="207">
        <f>BU14*E14</f>
        <v>1848</v>
      </c>
      <c r="CG14" s="207">
        <v>31127.25</v>
      </c>
      <c r="CH14" s="207">
        <v>34823.25</v>
      </c>
      <c r="CI14" s="207"/>
      <c r="CJ14" s="207"/>
      <c r="CK14" s="207"/>
      <c r="CL14" s="207"/>
      <c r="CM14" s="207"/>
      <c r="CN14" s="207"/>
      <c r="CO14" s="207"/>
      <c r="CP14" s="54"/>
      <c r="CQ14" s="193"/>
      <c r="CR14" s="193"/>
    </row>
    <row r="15" spans="2:96" s="15" customFormat="1" ht="15.75" customHeight="1" x14ac:dyDescent="0.35">
      <c r="B15" s="194" t="s">
        <v>158</v>
      </c>
      <c r="C15" s="195" t="s">
        <v>159</v>
      </c>
      <c r="D15" s="196" t="s">
        <v>134</v>
      </c>
      <c r="E15" s="197">
        <v>115.5</v>
      </c>
      <c r="G15" s="198"/>
      <c r="H15" s="198">
        <v>10</v>
      </c>
      <c r="I15" s="198">
        <v>10</v>
      </c>
      <c r="J15" s="198">
        <v>10</v>
      </c>
      <c r="K15" s="198">
        <v>11.5</v>
      </c>
      <c r="L15" s="198">
        <v>11.5</v>
      </c>
      <c r="M15" s="198">
        <v>11.5</v>
      </c>
      <c r="N15" s="198">
        <v>11.5</v>
      </c>
      <c r="O15" s="198">
        <v>10</v>
      </c>
      <c r="P15" s="198"/>
      <c r="Q15" s="198"/>
      <c r="R15" s="198"/>
      <c r="S15" s="198"/>
      <c r="T15" s="198"/>
      <c r="U15" s="198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>
        <v>10</v>
      </c>
      <c r="AL15" s="199">
        <v>11.5</v>
      </c>
      <c r="AM15" s="199">
        <v>11.5</v>
      </c>
      <c r="AN15" s="199">
        <v>11.5</v>
      </c>
      <c r="AO15" s="199">
        <v>10</v>
      </c>
      <c r="AP15" s="199">
        <v>10</v>
      </c>
      <c r="AQ15" s="199">
        <v>11.5</v>
      </c>
      <c r="AR15" s="199">
        <v>11.5</v>
      </c>
      <c r="AS15" s="199">
        <v>11.5</v>
      </c>
      <c r="AT15" s="199">
        <v>11.5</v>
      </c>
      <c r="AU15" s="199">
        <v>11.5</v>
      </c>
      <c r="AV15" s="199">
        <v>11.5</v>
      </c>
      <c r="AW15" s="199">
        <v>11.5</v>
      </c>
      <c r="AX15" s="199"/>
      <c r="AY15" s="199"/>
      <c r="AZ15" s="199"/>
      <c r="BA15" s="199"/>
      <c r="BB15" s="199"/>
      <c r="BC15" s="199"/>
      <c r="BD15" s="199"/>
      <c r="BE15" s="199"/>
      <c r="BF15" s="199"/>
      <c r="BG15" s="199"/>
      <c r="BH15" s="199"/>
      <c r="BI15" s="199"/>
      <c r="BJ15" s="199"/>
      <c r="BK15" s="199"/>
      <c r="BM15" s="200">
        <f t="shared" si="3"/>
        <v>231</v>
      </c>
      <c r="BN15" s="201">
        <f t="shared" si="4"/>
        <v>587</v>
      </c>
      <c r="BO15" s="201">
        <f t="shared" si="5"/>
        <v>818</v>
      </c>
      <c r="BQ15" s="202">
        <f t="shared" si="6"/>
        <v>26680.5</v>
      </c>
      <c r="BR15" s="203">
        <f t="shared" si="7"/>
        <v>67798.5</v>
      </c>
      <c r="BS15" s="203">
        <f t="shared" si="8"/>
        <v>94479</v>
      </c>
      <c r="BU15" s="204">
        <v>16</v>
      </c>
      <c r="BV15" s="204">
        <v>269.5</v>
      </c>
      <c r="BW15" s="204">
        <v>301.5</v>
      </c>
      <c r="BX15" s="204"/>
      <c r="BY15" s="204"/>
      <c r="BZ15" s="205"/>
      <c r="CA15" s="206"/>
      <c r="CB15" s="206"/>
      <c r="CC15" s="206"/>
      <c r="CD15" s="206"/>
      <c r="CE15" s="54"/>
      <c r="CF15" s="207">
        <f>BU15*E15</f>
        <v>1848</v>
      </c>
      <c r="CG15" s="207">
        <v>31127.25</v>
      </c>
      <c r="CH15" s="207">
        <v>34823.25</v>
      </c>
      <c r="CI15" s="207"/>
      <c r="CJ15" s="207"/>
      <c r="CK15" s="207"/>
      <c r="CL15" s="207"/>
      <c r="CM15" s="207"/>
      <c r="CN15" s="207"/>
      <c r="CO15" s="207"/>
      <c r="CP15" s="54"/>
      <c r="CQ15" s="193"/>
      <c r="CR15" s="193"/>
    </row>
    <row r="16" spans="2:96" s="15" customFormat="1" ht="15.75" customHeight="1" x14ac:dyDescent="0.35">
      <c r="B16" s="194" t="s">
        <v>158</v>
      </c>
      <c r="C16" s="195" t="s">
        <v>159</v>
      </c>
      <c r="D16" s="196" t="s">
        <v>135</v>
      </c>
      <c r="E16" s="197">
        <v>115.5</v>
      </c>
      <c r="G16" s="198"/>
      <c r="H16" s="198">
        <v>10</v>
      </c>
      <c r="I16" s="198">
        <v>10</v>
      </c>
      <c r="J16" s="198">
        <v>10</v>
      </c>
      <c r="K16" s="198">
        <v>11.5</v>
      </c>
      <c r="L16" s="198">
        <v>11.5</v>
      </c>
      <c r="M16" s="198">
        <v>11.5</v>
      </c>
      <c r="N16" s="198">
        <v>11.5</v>
      </c>
      <c r="O16" s="198">
        <v>10</v>
      </c>
      <c r="P16" s="198"/>
      <c r="Q16" s="198"/>
      <c r="R16" s="198"/>
      <c r="S16" s="198"/>
      <c r="T16" s="198"/>
      <c r="U16" s="198"/>
      <c r="V16" s="199"/>
      <c r="W16" s="199"/>
      <c r="X16" s="199"/>
      <c r="Y16" s="199"/>
      <c r="Z16" s="209"/>
      <c r="AA16" s="199"/>
      <c r="AB16" s="199"/>
      <c r="AC16" s="199"/>
      <c r="AD16" s="199"/>
      <c r="AE16" s="199"/>
      <c r="AF16" s="199"/>
      <c r="AG16" s="199"/>
      <c r="AH16" s="199"/>
      <c r="AI16" s="199"/>
      <c r="AJ16" s="199"/>
      <c r="AK16" s="199"/>
      <c r="AL16" s="199"/>
      <c r="AM16" s="199"/>
      <c r="AN16" s="199"/>
      <c r="AO16" s="199"/>
      <c r="AP16" s="199"/>
      <c r="AQ16" s="199"/>
      <c r="AR16" s="199">
        <v>10</v>
      </c>
      <c r="AS16" s="199">
        <v>11.5</v>
      </c>
      <c r="AT16" s="199">
        <v>11.5</v>
      </c>
      <c r="AU16" s="199">
        <v>11.5</v>
      </c>
      <c r="AV16" s="199">
        <v>11.5</v>
      </c>
      <c r="AW16" s="199">
        <v>11.5</v>
      </c>
      <c r="AX16" s="199">
        <v>10</v>
      </c>
      <c r="AY16" s="199"/>
      <c r="AZ16" s="199"/>
      <c r="BA16" s="199"/>
      <c r="BB16" s="199"/>
      <c r="BC16" s="199"/>
      <c r="BD16" s="199"/>
      <c r="BE16" s="199"/>
      <c r="BF16" s="199"/>
      <c r="BG16" s="199"/>
      <c r="BH16" s="199"/>
      <c r="BI16" s="199"/>
      <c r="BJ16" s="199"/>
      <c r="BK16" s="199"/>
      <c r="BM16" s="200">
        <f t="shared" si="3"/>
        <v>163.5</v>
      </c>
      <c r="BN16" s="201">
        <f t="shared" si="4"/>
        <v>505.5</v>
      </c>
      <c r="BO16" s="201">
        <f t="shared" si="5"/>
        <v>669</v>
      </c>
      <c r="BQ16" s="202">
        <f t="shared" si="6"/>
        <v>18884.25</v>
      </c>
      <c r="BR16" s="203">
        <f t="shared" si="7"/>
        <v>58385.25</v>
      </c>
      <c r="BS16" s="203">
        <f t="shared" si="8"/>
        <v>77269.5</v>
      </c>
      <c r="BU16" s="204"/>
      <c r="BV16" s="204">
        <v>204</v>
      </c>
      <c r="BW16" s="204">
        <v>301.5</v>
      </c>
      <c r="BX16" s="204"/>
      <c r="BY16" s="204"/>
      <c r="BZ16" s="205"/>
      <c r="CA16" s="206"/>
      <c r="CB16" s="206"/>
      <c r="CC16" s="206"/>
      <c r="CD16" s="206"/>
      <c r="CE16" s="54"/>
      <c r="CF16" s="207"/>
      <c r="CG16" s="207">
        <v>23562</v>
      </c>
      <c r="CH16" s="207">
        <v>34823.25</v>
      </c>
      <c r="CI16" s="207"/>
      <c r="CJ16" s="207"/>
      <c r="CK16" s="207"/>
      <c r="CL16" s="207"/>
      <c r="CM16" s="207"/>
      <c r="CN16" s="207"/>
      <c r="CO16" s="207"/>
      <c r="CP16" s="54"/>
      <c r="CQ16" s="193"/>
      <c r="CR16" s="210"/>
    </row>
    <row r="17" spans="1:96" s="15" customFormat="1" ht="15.75" customHeight="1" x14ac:dyDescent="0.35">
      <c r="A17" s="15">
        <v>10</v>
      </c>
      <c r="B17" s="194" t="s">
        <v>158</v>
      </c>
      <c r="C17" s="195" t="s">
        <v>159</v>
      </c>
      <c r="D17" s="211" t="s">
        <v>137</v>
      </c>
      <c r="E17" s="197">
        <v>115.5</v>
      </c>
      <c r="G17" s="208"/>
      <c r="H17" s="208">
        <v>10</v>
      </c>
      <c r="I17" s="208">
        <v>10</v>
      </c>
      <c r="J17" s="208">
        <v>10</v>
      </c>
      <c r="K17" s="208">
        <v>11.5</v>
      </c>
      <c r="L17" s="208">
        <v>11.5</v>
      </c>
      <c r="M17" s="208">
        <v>11.5</v>
      </c>
      <c r="N17" s="208">
        <v>11.5</v>
      </c>
      <c r="O17" s="208">
        <v>10</v>
      </c>
      <c r="P17" s="212"/>
      <c r="Q17" s="212"/>
      <c r="R17" s="212"/>
      <c r="S17" s="212"/>
      <c r="T17" s="212"/>
      <c r="U17" s="212"/>
      <c r="V17" s="199"/>
      <c r="W17" s="208"/>
      <c r="X17" s="208"/>
      <c r="Y17" s="208"/>
      <c r="Z17" s="208"/>
      <c r="AA17" s="208"/>
      <c r="AB17" s="208"/>
      <c r="AC17" s="208"/>
      <c r="AD17" s="208"/>
      <c r="AE17" s="199"/>
      <c r="AF17" s="208"/>
      <c r="AG17" s="208"/>
      <c r="AH17" s="208"/>
      <c r="AI17" s="208"/>
      <c r="AJ17" s="208"/>
      <c r="AK17" s="208"/>
      <c r="AL17" s="208"/>
      <c r="AM17" s="208"/>
      <c r="AN17" s="208">
        <v>10</v>
      </c>
      <c r="AO17" s="208">
        <v>10</v>
      </c>
      <c r="AP17" s="208">
        <v>10</v>
      </c>
      <c r="AQ17" s="208">
        <v>11.5</v>
      </c>
      <c r="AR17" s="208">
        <v>11.5</v>
      </c>
      <c r="AS17" s="208">
        <v>11.5</v>
      </c>
      <c r="AT17" s="208">
        <v>11.5</v>
      </c>
      <c r="AU17" s="208">
        <v>11.5</v>
      </c>
      <c r="AV17" s="208">
        <v>11.5</v>
      </c>
      <c r="AW17" s="208">
        <v>11.5</v>
      </c>
      <c r="AX17" s="208">
        <v>10</v>
      </c>
      <c r="AY17" s="208"/>
      <c r="AZ17" s="208"/>
      <c r="BA17" s="208"/>
      <c r="BB17" s="208"/>
      <c r="BC17" s="208"/>
      <c r="BD17" s="208"/>
      <c r="BE17" s="208"/>
      <c r="BF17" s="208"/>
      <c r="BG17" s="208"/>
      <c r="BH17" s="208"/>
      <c r="BI17" s="208"/>
      <c r="BJ17" s="208"/>
      <c r="BK17" s="208"/>
      <c r="BM17" s="213">
        <f t="shared" si="3"/>
        <v>206.5</v>
      </c>
      <c r="BN17" s="214">
        <f t="shared" si="4"/>
        <v>206.5</v>
      </c>
      <c r="BO17" s="214">
        <f t="shared" si="5"/>
        <v>413</v>
      </c>
      <c r="BQ17" s="215">
        <f t="shared" si="6"/>
        <v>23850.75</v>
      </c>
      <c r="BR17" s="216">
        <f t="shared" si="7"/>
        <v>23850.75</v>
      </c>
      <c r="BS17" s="216">
        <f t="shared" si="8"/>
        <v>47701.5</v>
      </c>
      <c r="BU17" s="217"/>
      <c r="BV17" s="217">
        <v>0</v>
      </c>
      <c r="BW17" s="217">
        <v>206.5</v>
      </c>
      <c r="BX17" s="217"/>
      <c r="BY17" s="217"/>
      <c r="BZ17" s="218"/>
      <c r="CA17" s="171"/>
      <c r="CB17" s="171"/>
      <c r="CC17" s="171"/>
      <c r="CD17" s="171"/>
      <c r="CE17" s="54"/>
      <c r="CF17" s="174"/>
      <c r="CG17" s="174">
        <v>0</v>
      </c>
      <c r="CH17" s="174">
        <v>23850.75</v>
      </c>
      <c r="CI17" s="174"/>
      <c r="CJ17" s="174"/>
      <c r="CK17" s="174"/>
      <c r="CL17" s="174"/>
      <c r="CM17" s="174"/>
      <c r="CN17" s="174"/>
      <c r="CO17" s="174"/>
      <c r="CP17" s="54"/>
      <c r="CQ17" s="219"/>
      <c r="CR17" s="220"/>
    </row>
    <row r="18" spans="1:96" s="15" customFormat="1" ht="15.75" customHeight="1" x14ac:dyDescent="0.35">
      <c r="B18" s="194" t="s">
        <v>158</v>
      </c>
      <c r="C18" s="195" t="s">
        <v>159</v>
      </c>
      <c r="D18" s="211" t="s">
        <v>138</v>
      </c>
      <c r="E18" s="197">
        <v>142</v>
      </c>
      <c r="G18" s="208"/>
      <c r="H18" s="208">
        <v>11.5</v>
      </c>
      <c r="I18" s="208">
        <v>11.5</v>
      </c>
      <c r="J18" s="208">
        <v>11.5</v>
      </c>
      <c r="K18" s="208">
        <v>11.5</v>
      </c>
      <c r="L18" s="208">
        <v>11.5</v>
      </c>
      <c r="M18" s="208">
        <v>11.5</v>
      </c>
      <c r="N18" s="208">
        <v>11.5</v>
      </c>
      <c r="O18" s="208">
        <v>10</v>
      </c>
      <c r="P18" s="212"/>
      <c r="Q18" s="212"/>
      <c r="R18" s="212"/>
      <c r="S18" s="212"/>
      <c r="T18" s="212"/>
      <c r="U18" s="212"/>
      <c r="V18" s="208"/>
      <c r="W18" s="208"/>
      <c r="X18" s="208"/>
      <c r="Y18" s="208"/>
      <c r="Z18" s="208"/>
      <c r="AA18" s="208"/>
      <c r="AB18" s="208"/>
      <c r="AC18" s="208"/>
      <c r="AD18" s="208"/>
      <c r="AE18" s="208"/>
      <c r="AF18" s="208"/>
      <c r="AG18" s="208"/>
      <c r="AH18" s="208"/>
      <c r="AI18" s="208"/>
      <c r="AJ18" s="208"/>
      <c r="AK18" s="208">
        <v>10</v>
      </c>
      <c r="AL18" s="208">
        <v>11.5</v>
      </c>
      <c r="AM18" s="208">
        <v>11.5</v>
      </c>
      <c r="AN18" s="208">
        <v>11.5</v>
      </c>
      <c r="AO18" s="208">
        <v>11.5</v>
      </c>
      <c r="AP18" s="208">
        <v>11.5</v>
      </c>
      <c r="AQ18" s="208">
        <v>11.5</v>
      </c>
      <c r="AR18" s="208">
        <v>11.5</v>
      </c>
      <c r="AS18" s="208">
        <v>6.5</v>
      </c>
      <c r="AT18" s="208"/>
      <c r="AU18" s="208"/>
      <c r="AV18" s="208"/>
      <c r="AW18" s="208"/>
      <c r="AX18" s="208"/>
      <c r="AY18" s="208"/>
      <c r="AZ18" s="208"/>
      <c r="BA18" s="208"/>
      <c r="BB18" s="208"/>
      <c r="BC18" s="208"/>
      <c r="BD18" s="208"/>
      <c r="BE18" s="208"/>
      <c r="BF18" s="208"/>
      <c r="BG18" s="208"/>
      <c r="BH18" s="208"/>
      <c r="BI18" s="208"/>
      <c r="BJ18" s="208"/>
      <c r="BK18" s="208"/>
      <c r="BM18" s="213">
        <f t="shared" si="3"/>
        <v>187.5</v>
      </c>
      <c r="BN18" s="214">
        <f t="shared" si="4"/>
        <v>126.5</v>
      </c>
      <c r="BO18" s="214">
        <f t="shared" si="5"/>
        <v>314</v>
      </c>
      <c r="BQ18" s="215">
        <f t="shared" si="6"/>
        <v>26625</v>
      </c>
      <c r="BR18" s="216">
        <f t="shared" si="7"/>
        <v>17963</v>
      </c>
      <c r="BS18" s="216">
        <f t="shared" si="8"/>
        <v>44588</v>
      </c>
      <c r="BU18" s="217"/>
      <c r="BV18" s="217">
        <v>0</v>
      </c>
      <c r="BW18" s="217">
        <v>126.5</v>
      </c>
      <c r="BX18" s="217"/>
      <c r="BY18" s="217"/>
      <c r="BZ18" s="218"/>
      <c r="CA18" s="171"/>
      <c r="CB18" s="171"/>
      <c r="CC18" s="171"/>
      <c r="CD18" s="171"/>
      <c r="CE18" s="54"/>
      <c r="CF18" s="174"/>
      <c r="CG18" s="174">
        <v>0</v>
      </c>
      <c r="CH18" s="174">
        <v>17963</v>
      </c>
      <c r="CI18" s="174"/>
      <c r="CJ18" s="174"/>
      <c r="CK18" s="174"/>
      <c r="CL18" s="174"/>
      <c r="CM18" s="174"/>
      <c r="CN18" s="174"/>
      <c r="CO18" s="174"/>
      <c r="CP18" s="54"/>
      <c r="CQ18" s="219"/>
      <c r="CR18" s="220"/>
    </row>
    <row r="20" spans="1:96" x14ac:dyDescent="0.35">
      <c r="D20" s="190" t="s">
        <v>160</v>
      </c>
      <c r="G20" s="221">
        <f t="shared" ref="G20:AN20" si="9">SUBTOTAL(9,G12:G19)</f>
        <v>0</v>
      </c>
      <c r="H20" s="221">
        <f t="shared" si="9"/>
        <v>61.5</v>
      </c>
      <c r="I20" s="221">
        <f t="shared" si="9"/>
        <v>61.5</v>
      </c>
      <c r="J20" s="221">
        <f t="shared" si="9"/>
        <v>61.5</v>
      </c>
      <c r="K20" s="221">
        <f t="shared" si="9"/>
        <v>80.5</v>
      </c>
      <c r="L20" s="221">
        <f t="shared" si="9"/>
        <v>80.5</v>
      </c>
      <c r="M20" s="221">
        <f t="shared" si="9"/>
        <v>80.5</v>
      </c>
      <c r="N20" s="221">
        <f t="shared" si="9"/>
        <v>69</v>
      </c>
      <c r="O20" s="221">
        <f t="shared" si="9"/>
        <v>70</v>
      </c>
      <c r="P20" s="221">
        <f t="shared" si="9"/>
        <v>0</v>
      </c>
      <c r="Q20" s="221">
        <f t="shared" si="9"/>
        <v>0</v>
      </c>
      <c r="R20" s="221">
        <f t="shared" si="9"/>
        <v>0</v>
      </c>
      <c r="S20" s="221">
        <f t="shared" si="9"/>
        <v>0</v>
      </c>
      <c r="T20" s="221">
        <f t="shared" si="9"/>
        <v>0</v>
      </c>
      <c r="U20" s="221">
        <f t="shared" si="9"/>
        <v>0</v>
      </c>
      <c r="V20" s="221">
        <f t="shared" si="9"/>
        <v>0</v>
      </c>
      <c r="W20" s="221">
        <f t="shared" si="9"/>
        <v>0</v>
      </c>
      <c r="X20" s="221">
        <f t="shared" si="9"/>
        <v>0</v>
      </c>
      <c r="Y20" s="221">
        <f t="shared" si="9"/>
        <v>0</v>
      </c>
      <c r="Z20" s="221">
        <f t="shared" si="9"/>
        <v>0</v>
      </c>
      <c r="AA20" s="221">
        <f t="shared" si="9"/>
        <v>0</v>
      </c>
      <c r="AB20" s="221">
        <f t="shared" si="9"/>
        <v>0</v>
      </c>
      <c r="AC20" s="221">
        <f t="shared" si="9"/>
        <v>0</v>
      </c>
      <c r="AD20" s="221">
        <f t="shared" si="9"/>
        <v>0</v>
      </c>
      <c r="AE20" s="221">
        <f t="shared" si="9"/>
        <v>0</v>
      </c>
      <c r="AF20" s="221">
        <f t="shared" si="9"/>
        <v>0</v>
      </c>
      <c r="AG20" s="221">
        <f t="shared" si="9"/>
        <v>0</v>
      </c>
      <c r="AH20" s="221">
        <f t="shared" si="9"/>
        <v>0</v>
      </c>
      <c r="AI20" s="221">
        <f t="shared" si="9"/>
        <v>0</v>
      </c>
      <c r="AJ20" s="221">
        <f t="shared" si="9"/>
        <v>0</v>
      </c>
      <c r="AK20" s="221">
        <f t="shared" si="9"/>
        <v>50</v>
      </c>
      <c r="AL20" s="221">
        <f t="shared" si="9"/>
        <v>57.5</v>
      </c>
      <c r="AM20" s="221">
        <f t="shared" si="9"/>
        <v>57.5</v>
      </c>
      <c r="AN20" s="221">
        <f t="shared" si="9"/>
        <v>67.5</v>
      </c>
      <c r="AO20" s="221"/>
      <c r="AP20" s="221"/>
      <c r="AQ20" s="221"/>
      <c r="AR20" s="221"/>
      <c r="AS20" s="221"/>
      <c r="AT20" s="221"/>
      <c r="AU20" s="221"/>
      <c r="AV20" s="221"/>
      <c r="AW20" s="221"/>
      <c r="AX20" s="221">
        <f>SUBTOTAL(9,AX12:AX19)</f>
        <v>50</v>
      </c>
      <c r="AY20" s="221"/>
      <c r="AZ20" s="221"/>
      <c r="BA20" s="221"/>
      <c r="BB20" s="221"/>
      <c r="BC20" s="221"/>
      <c r="BD20" s="221"/>
      <c r="BE20" s="221"/>
      <c r="BF20" s="221"/>
      <c r="BG20" s="221"/>
      <c r="BH20" s="221"/>
      <c r="BI20" s="221"/>
      <c r="BJ20" s="221"/>
      <c r="BK20" s="221">
        <f>SUBTOTAL(9,BK12:BK19)</f>
        <v>0</v>
      </c>
      <c r="BM20" s="221">
        <f>SUBTOTAL(9,BM12:BM19)</f>
        <v>1470</v>
      </c>
      <c r="BN20" s="221">
        <f>SUBTOTAL(9,BN12:BN19)</f>
        <v>3135</v>
      </c>
      <c r="BO20" s="221">
        <f>SUBTOTAL(9,BO12:BO19)</f>
        <v>4605</v>
      </c>
      <c r="BQ20" s="222">
        <f>SUBTOTAL(9,BQ12:BQ19)</f>
        <v>174753.75</v>
      </c>
      <c r="BR20" s="222">
        <f>SUBTOTAL(9,BR12:BR19)</f>
        <v>365444.75</v>
      </c>
      <c r="BS20" s="222">
        <f>SUBTOTAL(9,BS12:BS19)</f>
        <v>540198.5</v>
      </c>
      <c r="BU20" s="221">
        <f t="shared" ref="BU20:CD20" si="10">SUBTOTAL(9,BU12:BU19)</f>
        <v>64</v>
      </c>
      <c r="BV20" s="221">
        <f t="shared" si="10"/>
        <v>1240.5</v>
      </c>
      <c r="BW20" s="221">
        <f t="shared" si="10"/>
        <v>1830.5</v>
      </c>
      <c r="BX20" s="221">
        <f t="shared" si="10"/>
        <v>0</v>
      </c>
      <c r="BY20" s="221">
        <f t="shared" si="10"/>
        <v>0</v>
      </c>
      <c r="BZ20" s="221">
        <f t="shared" si="10"/>
        <v>0</v>
      </c>
      <c r="CA20" s="221">
        <f t="shared" si="10"/>
        <v>0</v>
      </c>
      <c r="CB20" s="221">
        <f t="shared" si="10"/>
        <v>0</v>
      </c>
      <c r="CC20" s="221">
        <f t="shared" si="10"/>
        <v>0</v>
      </c>
      <c r="CD20" s="221">
        <f t="shared" si="10"/>
        <v>0</v>
      </c>
      <c r="CF20" s="222">
        <f t="shared" ref="CF20:CO20" si="11">SUBTOTAL(9,CF12:CF19)</f>
        <v>7392</v>
      </c>
      <c r="CG20" s="222">
        <f t="shared" si="11"/>
        <v>143277.75</v>
      </c>
      <c r="CH20" s="222">
        <f t="shared" si="11"/>
        <v>214775</v>
      </c>
      <c r="CI20" s="222">
        <f t="shared" si="11"/>
        <v>0</v>
      </c>
      <c r="CJ20" s="222">
        <f t="shared" si="11"/>
        <v>0</v>
      </c>
      <c r="CK20" s="222">
        <f t="shared" si="11"/>
        <v>0</v>
      </c>
      <c r="CL20" s="222">
        <f t="shared" si="11"/>
        <v>0</v>
      </c>
      <c r="CM20" s="222">
        <f t="shared" si="11"/>
        <v>0</v>
      </c>
      <c r="CN20" s="222">
        <f t="shared" si="11"/>
        <v>0</v>
      </c>
      <c r="CO20" s="222">
        <f t="shared" si="11"/>
        <v>0</v>
      </c>
    </row>
  </sheetData>
  <conditionalFormatting sqref="D12:D18">
    <cfRule type="duplicateValues" dxfId="6" priority="2"/>
  </conditionalFormatting>
  <pageMargins left="0.7" right="0.7" top="0.75" bottom="0.75" header="0.511811023622047" footer="0.511811023622047"/>
  <pageSetup paperSize="8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B1:AL36"/>
  <sheetViews>
    <sheetView zoomScaleNormal="100" workbookViewId="0">
      <selection activeCell="J5" sqref="J5"/>
    </sheetView>
  </sheetViews>
  <sheetFormatPr defaultColWidth="8.6328125" defaultRowHeight="14.5" outlineLevelCol="1" x14ac:dyDescent="0.35"/>
  <cols>
    <col min="1" max="1" width="3.81640625" customWidth="1"/>
    <col min="2" max="2" width="16.1796875" customWidth="1"/>
    <col min="3" max="3" width="30.81640625" customWidth="1"/>
    <col min="4" max="4" width="14.26953125" customWidth="1"/>
    <col min="5" max="5" width="11.26953125" customWidth="1"/>
    <col min="6" max="6" width="5.453125" customWidth="1"/>
    <col min="7" max="7" width="3" customWidth="1"/>
    <col min="9" max="9" width="10.54296875" customWidth="1"/>
    <col min="10" max="10" width="10.81640625" customWidth="1"/>
    <col min="11" max="11" width="2.7265625" customWidth="1"/>
    <col min="12" max="14" width="12.26953125" customWidth="1"/>
    <col min="15" max="15" width="3.1796875" customWidth="1"/>
    <col min="16" max="25" width="9.1796875" hidden="1" customWidth="1" outlineLevel="1"/>
    <col min="26" max="26" width="3.1796875" hidden="1" customWidth="1" outlineLevel="1"/>
    <col min="27" max="27" width="9.1796875" hidden="1" customWidth="1" outlineLevel="1"/>
    <col min="28" max="28" width="12.26953125" hidden="1" customWidth="1" outlineLevel="1"/>
    <col min="29" max="36" width="9.1796875" hidden="1" customWidth="1" outlineLevel="1"/>
    <col min="37" max="37" width="19.54296875" customWidth="1" collapsed="1"/>
    <col min="38" max="38" width="21" customWidth="1"/>
  </cols>
  <sheetData>
    <row r="1" spans="2:38" x14ac:dyDescent="0.35">
      <c r="B1" s="60" t="s">
        <v>48</v>
      </c>
      <c r="C1" s="15" t="str">
        <f>Payment_Summary!C3</f>
        <v>PH-AA-0001</v>
      </c>
    </row>
    <row r="2" spans="2:38" x14ac:dyDescent="0.35">
      <c r="B2" s="60" t="s">
        <v>49</v>
      </c>
      <c r="C2" s="15" t="str">
        <f>Payment_Summary!C4</f>
        <v xml:space="preserve">PLANT HIRE SERVICES FOR BENTHIC REMOVAL </v>
      </c>
    </row>
    <row r="3" spans="2:38" x14ac:dyDescent="0.35">
      <c r="B3" s="60" t="s">
        <v>50</v>
      </c>
      <c r="C3" s="15" t="str">
        <f>Payment_Summary!C5</f>
        <v>Rirratjingu Enterprises Pty Ltd (ACN 56 639 548 137)</v>
      </c>
    </row>
    <row r="4" spans="2:38" x14ac:dyDescent="0.35">
      <c r="B4" s="60" t="s">
        <v>51</v>
      </c>
      <c r="C4" s="15" t="str">
        <f>Payment_Summary!C6</f>
        <v>Z-2264070.04.50.30.01</v>
      </c>
    </row>
    <row r="5" spans="2:38" x14ac:dyDescent="0.35">
      <c r="B5" s="60" t="s">
        <v>52</v>
      </c>
      <c r="C5" s="15" t="str">
        <f>Payment_Summary!C7</f>
        <v>PC004</v>
      </c>
    </row>
    <row r="6" spans="2:38" x14ac:dyDescent="0.35">
      <c r="B6" s="60" t="s">
        <v>53</v>
      </c>
      <c r="C6" s="15" t="str">
        <f>Payment_Summary!C8</f>
        <v>06/12/25 - 31/01/25</v>
      </c>
    </row>
    <row r="8" spans="2:38" x14ac:dyDescent="0.35">
      <c r="B8" s="136" t="s">
        <v>161</v>
      </c>
      <c r="C8" s="15"/>
      <c r="D8" s="15"/>
      <c r="E8" s="137"/>
      <c r="F8" s="137"/>
      <c r="G8" s="15"/>
      <c r="H8" s="15"/>
      <c r="I8" s="15"/>
      <c r="J8" s="15"/>
      <c r="K8" s="15"/>
      <c r="L8" s="15"/>
      <c r="M8" s="15"/>
      <c r="N8" s="15"/>
      <c r="O8" s="15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15"/>
    </row>
    <row r="9" spans="2:38" ht="57.5" customHeight="1" x14ac:dyDescent="0.35">
      <c r="B9" s="15"/>
      <c r="C9" s="15"/>
      <c r="D9" s="15"/>
      <c r="E9" s="137"/>
      <c r="F9" s="137"/>
      <c r="G9" s="15"/>
      <c r="H9" s="15"/>
      <c r="I9" s="15"/>
      <c r="J9" s="15"/>
      <c r="K9" s="15"/>
      <c r="L9" s="15"/>
      <c r="M9" s="15"/>
      <c r="N9" s="15"/>
      <c r="O9" s="15"/>
      <c r="P9" s="340" t="s">
        <v>101</v>
      </c>
      <c r="Q9" s="340"/>
      <c r="R9" s="340"/>
      <c r="S9" s="340"/>
      <c r="T9" s="340"/>
      <c r="U9" s="340"/>
      <c r="V9" s="340"/>
      <c r="W9" s="340"/>
      <c r="X9" s="340"/>
      <c r="Y9" s="340"/>
      <c r="Z9" s="54"/>
      <c r="AA9" s="340" t="s">
        <v>102</v>
      </c>
      <c r="AB9" s="340"/>
      <c r="AC9" s="340"/>
      <c r="AD9" s="340"/>
      <c r="AE9" s="340"/>
      <c r="AF9" s="340"/>
      <c r="AG9" s="340"/>
      <c r="AH9" s="340"/>
      <c r="AI9" s="340"/>
      <c r="AJ9" s="340"/>
      <c r="AK9" s="15"/>
    </row>
    <row r="10" spans="2:38" ht="39" customHeight="1" x14ac:dyDescent="0.35">
      <c r="B10" s="66" t="s">
        <v>103</v>
      </c>
      <c r="C10" s="66" t="s">
        <v>162</v>
      </c>
      <c r="D10" s="70" t="s">
        <v>163</v>
      </c>
      <c r="E10" s="138" t="s">
        <v>164</v>
      </c>
      <c r="F10" s="138" t="s">
        <v>107</v>
      </c>
      <c r="G10" s="15"/>
      <c r="H10" s="70" t="s">
        <v>108</v>
      </c>
      <c r="I10" s="70" t="s">
        <v>109</v>
      </c>
      <c r="J10" s="70" t="s">
        <v>110</v>
      </c>
      <c r="K10" s="15"/>
      <c r="L10" s="70" t="s">
        <v>111</v>
      </c>
      <c r="M10" s="70" t="s">
        <v>112</v>
      </c>
      <c r="N10" s="70" t="s">
        <v>113</v>
      </c>
      <c r="O10" s="15"/>
      <c r="P10" s="71" t="s">
        <v>114</v>
      </c>
      <c r="Q10" s="71" t="s">
        <v>115</v>
      </c>
      <c r="R10" s="71" t="s">
        <v>116</v>
      </c>
      <c r="S10" s="71" t="s">
        <v>2</v>
      </c>
      <c r="T10" s="71" t="s">
        <v>117</v>
      </c>
      <c r="U10" s="71" t="s">
        <v>118</v>
      </c>
      <c r="V10" s="71" t="s">
        <v>119</v>
      </c>
      <c r="W10" s="71" t="s">
        <v>120</v>
      </c>
      <c r="X10" s="71" t="s">
        <v>121</v>
      </c>
      <c r="Y10" s="71" t="s">
        <v>122</v>
      </c>
      <c r="Z10" s="54"/>
      <c r="AA10" s="71" t="str">
        <f t="shared" ref="AA10:AJ10" si="0">P10</f>
        <v>PC001</v>
      </c>
      <c r="AB10" s="71" t="str">
        <f t="shared" si="0"/>
        <v>PC002</v>
      </c>
      <c r="AC10" s="71" t="str">
        <f t="shared" si="0"/>
        <v>PC003</v>
      </c>
      <c r="AD10" s="71" t="str">
        <f t="shared" si="0"/>
        <v>PC004</v>
      </c>
      <c r="AE10" s="71" t="str">
        <f t="shared" si="0"/>
        <v>PC005</v>
      </c>
      <c r="AF10" s="71" t="str">
        <f t="shared" si="0"/>
        <v>PC006</v>
      </c>
      <c r="AG10" s="71" t="str">
        <f t="shared" si="0"/>
        <v>PC007</v>
      </c>
      <c r="AH10" s="71" t="str">
        <f t="shared" si="0"/>
        <v>PC008</v>
      </c>
      <c r="AI10" s="71" t="str">
        <f t="shared" si="0"/>
        <v>PC009</v>
      </c>
      <c r="AJ10" s="71" t="str">
        <f t="shared" si="0"/>
        <v>PC010</v>
      </c>
      <c r="AK10" s="139" t="s">
        <v>123</v>
      </c>
      <c r="AL10" s="139" t="s">
        <v>124</v>
      </c>
    </row>
    <row r="11" spans="2:38" x14ac:dyDescent="0.35">
      <c r="B11" s="140"/>
      <c r="C11" s="141" t="s">
        <v>165</v>
      </c>
      <c r="D11" s="140"/>
      <c r="E11" s="142"/>
      <c r="F11" s="142"/>
      <c r="G11" s="15"/>
      <c r="H11" s="140"/>
      <c r="I11" s="140"/>
      <c r="J11" s="140"/>
      <c r="K11" s="15"/>
      <c r="L11" s="140"/>
      <c r="M11" s="140"/>
      <c r="N11" s="140"/>
      <c r="O11" s="15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54"/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  <c r="AK11" s="143"/>
      <c r="AL11" s="143"/>
    </row>
    <row r="12" spans="2:38" x14ac:dyDescent="0.35">
      <c r="B12" s="144" t="s">
        <v>166</v>
      </c>
      <c r="C12" s="145" t="s">
        <v>167</v>
      </c>
      <c r="D12" s="223" t="s">
        <v>168</v>
      </c>
      <c r="E12" s="147">
        <v>71393.850000000006</v>
      </c>
      <c r="F12" s="147" t="s">
        <v>86</v>
      </c>
      <c r="G12" s="15"/>
      <c r="H12" s="148"/>
      <c r="I12" s="149">
        <f t="shared" ref="I12:I20" si="1">SUM(P12:Y12)</f>
        <v>1</v>
      </c>
      <c r="J12" s="149">
        <f t="shared" ref="J12:J20" si="2">H12+I12</f>
        <v>1</v>
      </c>
      <c r="K12" s="15"/>
      <c r="L12" s="150">
        <f t="shared" ref="L12:L20" si="3">H12*E12</f>
        <v>0</v>
      </c>
      <c r="M12" s="151">
        <f t="shared" ref="M12:M20" si="4">SUM(AA12:AJ12)</f>
        <v>71393.850000000006</v>
      </c>
      <c r="N12" s="151">
        <f t="shared" ref="N12:N20" si="5">+L12+M12</f>
        <v>71393.850000000006</v>
      </c>
      <c r="O12" s="15"/>
      <c r="P12" s="152"/>
      <c r="Q12" s="224">
        <v>1</v>
      </c>
      <c r="R12" s="152"/>
      <c r="S12" s="152"/>
      <c r="T12" s="152"/>
      <c r="U12" s="153"/>
      <c r="V12" s="154"/>
      <c r="W12" s="154"/>
      <c r="X12" s="154"/>
      <c r="Y12" s="154"/>
      <c r="Z12" s="54"/>
      <c r="AA12" s="147"/>
      <c r="AB12" s="147">
        <v>71393.850000000006</v>
      </c>
      <c r="AC12" s="147"/>
      <c r="AD12" s="147"/>
      <c r="AE12" s="147"/>
      <c r="AF12" s="147"/>
      <c r="AG12" s="147"/>
      <c r="AH12" s="147"/>
      <c r="AI12" s="147"/>
      <c r="AJ12" s="147"/>
      <c r="AK12" s="155"/>
      <c r="AL12" s="155"/>
    </row>
    <row r="13" spans="2:38" x14ac:dyDescent="0.35">
      <c r="B13" s="144" t="s">
        <v>169</v>
      </c>
      <c r="C13" s="145" t="s">
        <v>170</v>
      </c>
      <c r="D13" s="225" t="s">
        <v>171</v>
      </c>
      <c r="E13" s="147">
        <v>78376.649999999994</v>
      </c>
      <c r="F13" s="147" t="s">
        <v>86</v>
      </c>
      <c r="G13" s="15"/>
      <c r="H13" s="148"/>
      <c r="I13" s="149">
        <f t="shared" si="1"/>
        <v>1</v>
      </c>
      <c r="J13" s="149">
        <f t="shared" si="2"/>
        <v>1</v>
      </c>
      <c r="K13" s="15"/>
      <c r="L13" s="150">
        <f t="shared" si="3"/>
        <v>0</v>
      </c>
      <c r="M13" s="151">
        <f t="shared" si="4"/>
        <v>78376.649999999994</v>
      </c>
      <c r="N13" s="151">
        <f t="shared" si="5"/>
        <v>78376.649999999994</v>
      </c>
      <c r="O13" s="15"/>
      <c r="P13" s="157"/>
      <c r="Q13" s="224">
        <v>1</v>
      </c>
      <c r="R13" s="157"/>
      <c r="S13" s="157"/>
      <c r="T13" s="157"/>
      <c r="U13" s="158"/>
      <c r="V13" s="159"/>
      <c r="W13" s="159"/>
      <c r="X13" s="159"/>
      <c r="Y13" s="159"/>
      <c r="Z13" s="54"/>
      <c r="AA13" s="160"/>
      <c r="AB13" s="160">
        <v>78376.649999999994</v>
      </c>
      <c r="AC13" s="160"/>
      <c r="AD13" s="160"/>
      <c r="AE13" s="160"/>
      <c r="AF13" s="160"/>
      <c r="AG13" s="160"/>
      <c r="AH13" s="160"/>
      <c r="AI13" s="160"/>
      <c r="AJ13" s="160"/>
      <c r="AK13" s="161"/>
      <c r="AL13" s="161"/>
    </row>
    <row r="14" spans="2:38" x14ac:dyDescent="0.35">
      <c r="B14" s="144" t="s">
        <v>172</v>
      </c>
      <c r="C14" s="145" t="s">
        <v>173</v>
      </c>
      <c r="D14" s="225" t="s">
        <v>174</v>
      </c>
      <c r="E14" s="147">
        <v>47512.3</v>
      </c>
      <c r="F14" s="147" t="s">
        <v>86</v>
      </c>
      <c r="G14" s="15"/>
      <c r="H14" s="148"/>
      <c r="I14" s="149">
        <f t="shared" si="1"/>
        <v>1</v>
      </c>
      <c r="J14" s="149">
        <f t="shared" si="2"/>
        <v>1</v>
      </c>
      <c r="K14" s="15"/>
      <c r="L14" s="150">
        <f t="shared" si="3"/>
        <v>0</v>
      </c>
      <c r="M14" s="151">
        <f t="shared" si="4"/>
        <v>47512.3</v>
      </c>
      <c r="N14" s="151">
        <f t="shared" si="5"/>
        <v>47512.3</v>
      </c>
      <c r="O14" s="15"/>
      <c r="P14" s="157"/>
      <c r="Q14" s="224">
        <v>1</v>
      </c>
      <c r="R14" s="157"/>
      <c r="S14" s="157"/>
      <c r="T14" s="157"/>
      <c r="U14" s="158"/>
      <c r="V14" s="159"/>
      <c r="W14" s="159"/>
      <c r="X14" s="159"/>
      <c r="Y14" s="159"/>
      <c r="Z14" s="54"/>
      <c r="AA14" s="160"/>
      <c r="AB14" s="160">
        <v>47512.3</v>
      </c>
      <c r="AC14" s="160"/>
      <c r="AD14" s="160"/>
      <c r="AE14" s="160"/>
      <c r="AF14" s="160"/>
      <c r="AG14" s="160"/>
      <c r="AH14" s="160"/>
      <c r="AI14" s="160"/>
      <c r="AJ14" s="160"/>
      <c r="AK14" s="161"/>
      <c r="AL14" s="161"/>
    </row>
    <row r="15" spans="2:38" x14ac:dyDescent="0.35">
      <c r="B15" s="144" t="s">
        <v>175</v>
      </c>
      <c r="C15" s="145" t="s">
        <v>176</v>
      </c>
      <c r="D15" s="225" t="s">
        <v>177</v>
      </c>
      <c r="E15" s="147">
        <v>33811.800000000003</v>
      </c>
      <c r="F15" s="147" t="s">
        <v>86</v>
      </c>
      <c r="G15" s="15"/>
      <c r="H15" s="148"/>
      <c r="I15" s="149">
        <f t="shared" si="1"/>
        <v>1</v>
      </c>
      <c r="J15" s="149">
        <f t="shared" si="2"/>
        <v>1</v>
      </c>
      <c r="K15" s="15"/>
      <c r="L15" s="150">
        <f t="shared" si="3"/>
        <v>0</v>
      </c>
      <c r="M15" s="151">
        <f t="shared" si="4"/>
        <v>33811.800000000003</v>
      </c>
      <c r="N15" s="151">
        <f t="shared" si="5"/>
        <v>33811.800000000003</v>
      </c>
      <c r="O15" s="15"/>
      <c r="P15" s="157"/>
      <c r="Q15" s="224">
        <v>1</v>
      </c>
      <c r="R15" s="157"/>
      <c r="S15" s="157"/>
      <c r="T15" s="157"/>
      <c r="U15" s="158"/>
      <c r="V15" s="159"/>
      <c r="W15" s="159"/>
      <c r="X15" s="159"/>
      <c r="Y15" s="159"/>
      <c r="Z15" s="54"/>
      <c r="AA15" s="160"/>
      <c r="AB15" s="160">
        <v>33811.800000000003</v>
      </c>
      <c r="AC15" s="160"/>
      <c r="AD15" s="160"/>
      <c r="AE15" s="160"/>
      <c r="AF15" s="160"/>
      <c r="AG15" s="160"/>
      <c r="AH15" s="160"/>
      <c r="AI15" s="160"/>
      <c r="AJ15" s="160"/>
      <c r="AK15" s="161"/>
      <c r="AL15" s="161"/>
    </row>
    <row r="16" spans="2:38" x14ac:dyDescent="0.35">
      <c r="B16" s="144" t="s">
        <v>178</v>
      </c>
      <c r="C16" s="145" t="s">
        <v>179</v>
      </c>
      <c r="D16" s="225" t="s">
        <v>180</v>
      </c>
      <c r="E16" s="147">
        <v>33811.800000000003</v>
      </c>
      <c r="F16" s="147" t="s">
        <v>86</v>
      </c>
      <c r="G16" s="15"/>
      <c r="H16" s="148"/>
      <c r="I16" s="149">
        <f t="shared" si="1"/>
        <v>1</v>
      </c>
      <c r="J16" s="149">
        <f t="shared" si="2"/>
        <v>1</v>
      </c>
      <c r="K16" s="15"/>
      <c r="L16" s="150">
        <f t="shared" si="3"/>
        <v>0</v>
      </c>
      <c r="M16" s="151">
        <f t="shared" si="4"/>
        <v>33811.800000000003</v>
      </c>
      <c r="N16" s="151">
        <f t="shared" si="5"/>
        <v>33811.800000000003</v>
      </c>
      <c r="O16" s="15"/>
      <c r="P16" s="157"/>
      <c r="Q16" s="224">
        <v>1</v>
      </c>
      <c r="R16" s="157"/>
      <c r="S16" s="157"/>
      <c r="T16" s="157"/>
      <c r="U16" s="158"/>
      <c r="V16" s="159"/>
      <c r="W16" s="159"/>
      <c r="X16" s="159"/>
      <c r="Y16" s="159"/>
      <c r="Z16" s="54"/>
      <c r="AA16" s="160"/>
      <c r="AB16" s="160">
        <v>33811.800000000003</v>
      </c>
      <c r="AC16" s="160"/>
      <c r="AD16" s="160"/>
      <c r="AE16" s="160"/>
      <c r="AF16" s="160"/>
      <c r="AG16" s="160"/>
      <c r="AH16" s="160"/>
      <c r="AI16" s="160"/>
      <c r="AJ16" s="160"/>
      <c r="AK16" s="161"/>
      <c r="AL16" s="161"/>
    </row>
    <row r="17" spans="2:38" x14ac:dyDescent="0.35">
      <c r="B17" s="144" t="s">
        <v>181</v>
      </c>
      <c r="C17" s="145" t="s">
        <v>182</v>
      </c>
      <c r="D17" s="225" t="s">
        <v>183</v>
      </c>
      <c r="E17" s="147">
        <v>35967.25</v>
      </c>
      <c r="F17" s="147" t="s">
        <v>86</v>
      </c>
      <c r="G17" s="15"/>
      <c r="H17" s="148"/>
      <c r="I17" s="149">
        <f t="shared" si="1"/>
        <v>1</v>
      </c>
      <c r="J17" s="149">
        <f t="shared" si="2"/>
        <v>1</v>
      </c>
      <c r="K17" s="15"/>
      <c r="L17" s="150">
        <f t="shared" si="3"/>
        <v>0</v>
      </c>
      <c r="M17" s="151">
        <f t="shared" si="4"/>
        <v>35967.25</v>
      </c>
      <c r="N17" s="151">
        <f t="shared" si="5"/>
        <v>35967.25</v>
      </c>
      <c r="O17" s="15"/>
      <c r="P17" s="157"/>
      <c r="Q17" s="224">
        <v>1</v>
      </c>
      <c r="R17" s="157"/>
      <c r="S17" s="157"/>
      <c r="T17" s="157"/>
      <c r="U17" s="158"/>
      <c r="V17" s="159"/>
      <c r="W17" s="159"/>
      <c r="X17" s="159"/>
      <c r="Y17" s="159"/>
      <c r="Z17" s="54"/>
      <c r="AA17" s="160"/>
      <c r="AB17" s="160">
        <v>35967.25</v>
      </c>
      <c r="AC17" s="160"/>
      <c r="AD17" s="160"/>
      <c r="AE17" s="160"/>
      <c r="AF17" s="160"/>
      <c r="AG17" s="160"/>
      <c r="AH17" s="160"/>
      <c r="AI17" s="160"/>
      <c r="AJ17" s="160"/>
      <c r="AK17" s="161"/>
      <c r="AL17" s="161"/>
    </row>
    <row r="18" spans="2:38" x14ac:dyDescent="0.35">
      <c r="B18" s="144" t="s">
        <v>184</v>
      </c>
      <c r="C18" s="145" t="s">
        <v>185</v>
      </c>
      <c r="D18" s="225" t="s">
        <v>186</v>
      </c>
      <c r="E18" s="147">
        <v>27874.55</v>
      </c>
      <c r="F18" s="147" t="s">
        <v>86</v>
      </c>
      <c r="G18" s="15"/>
      <c r="H18" s="148"/>
      <c r="I18" s="149">
        <f t="shared" si="1"/>
        <v>1</v>
      </c>
      <c r="J18" s="149">
        <f t="shared" si="2"/>
        <v>1</v>
      </c>
      <c r="K18" s="15"/>
      <c r="L18" s="150">
        <f t="shared" si="3"/>
        <v>0</v>
      </c>
      <c r="M18" s="151">
        <f t="shared" si="4"/>
        <v>27874.55</v>
      </c>
      <c r="N18" s="151">
        <f t="shared" si="5"/>
        <v>27874.55</v>
      </c>
      <c r="O18" s="15"/>
      <c r="P18" s="157"/>
      <c r="Q18" s="224">
        <v>1</v>
      </c>
      <c r="R18" s="157"/>
      <c r="S18" s="157"/>
      <c r="T18" s="157"/>
      <c r="U18" s="158"/>
      <c r="V18" s="159"/>
      <c r="W18" s="159"/>
      <c r="X18" s="159"/>
      <c r="Y18" s="159"/>
      <c r="Z18" s="54"/>
      <c r="AA18" s="160"/>
      <c r="AB18" s="160">
        <v>27874.55</v>
      </c>
      <c r="AC18" s="160"/>
      <c r="AD18" s="160"/>
      <c r="AE18" s="160"/>
      <c r="AF18" s="160"/>
      <c r="AG18" s="160"/>
      <c r="AH18" s="160"/>
      <c r="AI18" s="160"/>
      <c r="AJ18" s="160"/>
      <c r="AK18" s="161"/>
      <c r="AL18" s="161"/>
    </row>
    <row r="19" spans="2:38" x14ac:dyDescent="0.35">
      <c r="B19" s="144" t="s">
        <v>187</v>
      </c>
      <c r="C19" s="145" t="s">
        <v>188</v>
      </c>
      <c r="D19" s="225" t="s">
        <v>189</v>
      </c>
      <c r="E19" s="147">
        <v>9824.5499999999993</v>
      </c>
      <c r="F19" s="147" t="s">
        <v>86</v>
      </c>
      <c r="G19" s="15"/>
      <c r="H19" s="148"/>
      <c r="I19" s="149">
        <f t="shared" si="1"/>
        <v>1</v>
      </c>
      <c r="J19" s="149">
        <f t="shared" si="2"/>
        <v>1</v>
      </c>
      <c r="K19" s="15"/>
      <c r="L19" s="150">
        <f t="shared" si="3"/>
        <v>0</v>
      </c>
      <c r="M19" s="151">
        <f t="shared" si="4"/>
        <v>9824.5499999999993</v>
      </c>
      <c r="N19" s="151">
        <f t="shared" si="5"/>
        <v>9824.5499999999993</v>
      </c>
      <c r="O19" s="15"/>
      <c r="P19" s="157"/>
      <c r="Q19" s="224">
        <v>1</v>
      </c>
      <c r="R19" s="157"/>
      <c r="S19" s="157"/>
      <c r="T19" s="157"/>
      <c r="U19" s="158"/>
      <c r="V19" s="159"/>
      <c r="W19" s="159"/>
      <c r="X19" s="159"/>
      <c r="Y19" s="159"/>
      <c r="Z19" s="54"/>
      <c r="AA19" s="160"/>
      <c r="AB19" s="160">
        <v>9824.5499999999993</v>
      </c>
      <c r="AC19" s="160"/>
      <c r="AD19" s="160"/>
      <c r="AE19" s="160"/>
      <c r="AF19" s="160"/>
      <c r="AG19" s="160"/>
      <c r="AH19" s="160"/>
      <c r="AI19" s="160"/>
      <c r="AJ19" s="160"/>
      <c r="AK19" s="161"/>
      <c r="AL19" s="161"/>
    </row>
    <row r="20" spans="2:38" x14ac:dyDescent="0.35">
      <c r="B20" s="144" t="s">
        <v>190</v>
      </c>
      <c r="C20" s="145" t="s">
        <v>191</v>
      </c>
      <c r="D20" s="225" t="s">
        <v>192</v>
      </c>
      <c r="E20" s="147">
        <v>9824.5499999999993</v>
      </c>
      <c r="F20" s="147" t="s">
        <v>86</v>
      </c>
      <c r="G20" s="15"/>
      <c r="H20" s="148"/>
      <c r="I20" s="149">
        <f t="shared" si="1"/>
        <v>1</v>
      </c>
      <c r="J20" s="149">
        <f t="shared" si="2"/>
        <v>1</v>
      </c>
      <c r="K20" s="15"/>
      <c r="L20" s="150">
        <f t="shared" si="3"/>
        <v>0</v>
      </c>
      <c r="M20" s="151">
        <f t="shared" si="4"/>
        <v>9824.5499999999993</v>
      </c>
      <c r="N20" s="151">
        <f t="shared" si="5"/>
        <v>9824.5499999999993</v>
      </c>
      <c r="O20" s="15"/>
      <c r="P20" s="157"/>
      <c r="Q20" s="224">
        <v>1</v>
      </c>
      <c r="R20" s="157"/>
      <c r="S20" s="157"/>
      <c r="T20" s="157"/>
      <c r="U20" s="158"/>
      <c r="V20" s="159"/>
      <c r="W20" s="159"/>
      <c r="X20" s="159"/>
      <c r="Y20" s="159"/>
      <c r="Z20" s="54"/>
      <c r="AA20" s="160"/>
      <c r="AB20" s="160">
        <v>9824.5499999999993</v>
      </c>
      <c r="AC20" s="160"/>
      <c r="AD20" s="160"/>
      <c r="AE20" s="160"/>
      <c r="AF20" s="160"/>
      <c r="AG20" s="160"/>
      <c r="AH20" s="160"/>
      <c r="AI20" s="160"/>
      <c r="AJ20" s="160"/>
      <c r="AK20" s="161"/>
      <c r="AL20" s="161"/>
    </row>
    <row r="21" spans="2:38" x14ac:dyDescent="0.35">
      <c r="B21" s="144"/>
      <c r="C21" s="164"/>
      <c r="D21" s="165"/>
      <c r="E21" s="166"/>
      <c r="F21" s="166"/>
      <c r="G21" s="15"/>
      <c r="H21" s="167"/>
      <c r="I21" s="168"/>
      <c r="J21" s="168"/>
      <c r="K21" s="15"/>
      <c r="L21" s="169"/>
      <c r="M21" s="170"/>
      <c r="N21" s="170"/>
      <c r="O21" s="15"/>
      <c r="P21" s="157"/>
      <c r="Q21" s="157"/>
      <c r="R21" s="157"/>
      <c r="S21" s="157"/>
      <c r="T21" s="157"/>
      <c r="U21" s="158"/>
      <c r="V21" s="159"/>
      <c r="W21" s="159"/>
      <c r="X21" s="159"/>
      <c r="Y21" s="159"/>
      <c r="Z21" s="54"/>
      <c r="AA21" s="160"/>
      <c r="AB21" s="160"/>
      <c r="AC21" s="160"/>
      <c r="AD21" s="160"/>
      <c r="AE21" s="160"/>
      <c r="AF21" s="160"/>
      <c r="AG21" s="160"/>
      <c r="AH21" s="160"/>
      <c r="AI21" s="160"/>
      <c r="AJ21" s="160"/>
      <c r="AK21" s="226"/>
      <c r="AL21" s="226"/>
    </row>
    <row r="22" spans="2:38" x14ac:dyDescent="0.35">
      <c r="B22" s="171"/>
      <c r="C22" s="172" t="s">
        <v>193</v>
      </c>
      <c r="D22" s="173"/>
      <c r="E22" s="174"/>
      <c r="F22" s="174"/>
      <c r="G22" s="15"/>
      <c r="H22" s="175">
        <f>SUBTOTAL(9,H12:H21)</f>
        <v>0</v>
      </c>
      <c r="I22" s="175">
        <f>SUBTOTAL(9,I12:I21)</f>
        <v>9</v>
      </c>
      <c r="J22" s="176">
        <f>SUBTOTAL(9,J12:J21)</f>
        <v>9</v>
      </c>
      <c r="K22" s="60"/>
      <c r="L22" s="177">
        <f>SUBTOTAL(9,L12:L21)</f>
        <v>0</v>
      </c>
      <c r="M22" s="178">
        <f>SUBTOTAL(9,M12:M21)</f>
        <v>348397.29999999993</v>
      </c>
      <c r="N22" s="178">
        <f>SUBTOTAL(9,N12:N21)</f>
        <v>348397.29999999993</v>
      </c>
      <c r="O22" s="15"/>
      <c r="P22" s="175">
        <f t="shared" ref="P22:Y22" si="6">SUBTOTAL(9,P12:P21)</f>
        <v>0</v>
      </c>
      <c r="Q22" s="175">
        <f t="shared" si="6"/>
        <v>9</v>
      </c>
      <c r="R22" s="175">
        <f t="shared" si="6"/>
        <v>0</v>
      </c>
      <c r="S22" s="175">
        <f t="shared" si="6"/>
        <v>0</v>
      </c>
      <c r="T22" s="175">
        <f t="shared" si="6"/>
        <v>0</v>
      </c>
      <c r="U22" s="175">
        <f t="shared" si="6"/>
        <v>0</v>
      </c>
      <c r="V22" s="175">
        <f t="shared" si="6"/>
        <v>0</v>
      </c>
      <c r="W22" s="175">
        <f t="shared" si="6"/>
        <v>0</v>
      </c>
      <c r="X22" s="175">
        <f t="shared" si="6"/>
        <v>0</v>
      </c>
      <c r="Y22" s="175">
        <f t="shared" si="6"/>
        <v>0</v>
      </c>
      <c r="Z22" s="54"/>
      <c r="AA22" s="178">
        <f t="shared" ref="AA22:AJ22" si="7">SUBTOTAL(9,AA12:AA21)</f>
        <v>0</v>
      </c>
      <c r="AB22" s="178">
        <f t="shared" si="7"/>
        <v>348397.29999999993</v>
      </c>
      <c r="AC22" s="178">
        <f t="shared" si="7"/>
        <v>0</v>
      </c>
      <c r="AD22" s="178">
        <f t="shared" si="7"/>
        <v>0</v>
      </c>
      <c r="AE22" s="178">
        <f t="shared" si="7"/>
        <v>0</v>
      </c>
      <c r="AF22" s="178">
        <f t="shared" si="7"/>
        <v>0</v>
      </c>
      <c r="AG22" s="178">
        <f t="shared" si="7"/>
        <v>0</v>
      </c>
      <c r="AH22" s="178">
        <f t="shared" si="7"/>
        <v>0</v>
      </c>
      <c r="AI22" s="178">
        <f t="shared" si="7"/>
        <v>0</v>
      </c>
      <c r="AJ22" s="178">
        <f t="shared" si="7"/>
        <v>0</v>
      </c>
      <c r="AK22" s="220"/>
      <c r="AL22" s="220"/>
    </row>
    <row r="23" spans="2:38" x14ac:dyDescent="0.35">
      <c r="B23" s="140"/>
      <c r="C23" s="141" t="s">
        <v>194</v>
      </c>
      <c r="D23" s="140"/>
      <c r="E23" s="142"/>
      <c r="F23" s="142"/>
      <c r="G23" s="15"/>
      <c r="H23" s="140"/>
      <c r="I23" s="140"/>
      <c r="J23" s="140"/>
      <c r="K23" s="15"/>
      <c r="L23" s="140"/>
      <c r="M23" s="140"/>
      <c r="N23" s="140"/>
      <c r="O23" s="15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54"/>
      <c r="AA23" s="143"/>
      <c r="AB23" s="143"/>
      <c r="AC23" s="143"/>
      <c r="AD23" s="143"/>
      <c r="AE23" s="143"/>
      <c r="AF23" s="143"/>
      <c r="AG23" s="143"/>
      <c r="AH23" s="143"/>
      <c r="AI23" s="143"/>
      <c r="AJ23" s="143"/>
      <c r="AK23" s="143"/>
      <c r="AL23" s="143"/>
    </row>
    <row r="24" spans="2:38" ht="15" customHeight="1" x14ac:dyDescent="0.35">
      <c r="B24" s="144" t="s">
        <v>166</v>
      </c>
      <c r="C24" s="145" t="s">
        <v>167</v>
      </c>
      <c r="D24" s="146"/>
      <c r="E24" s="147">
        <v>6790.85</v>
      </c>
      <c r="F24" s="147" t="s">
        <v>86</v>
      </c>
      <c r="G24" s="15"/>
      <c r="H24" s="148"/>
      <c r="I24" s="149">
        <f t="shared" ref="I24:I31" si="8">SUM(P24:Y24)</f>
        <v>0</v>
      </c>
      <c r="J24" s="149">
        <f t="shared" ref="J24:J31" si="9">H24+I24</f>
        <v>0</v>
      </c>
      <c r="K24" s="15"/>
      <c r="L24" s="150">
        <f t="shared" ref="L24:L31" si="10">H24*E24</f>
        <v>0</v>
      </c>
      <c r="M24" s="151">
        <f t="shared" ref="M24:M31" si="11">SUM(AA24:AJ24)</f>
        <v>0</v>
      </c>
      <c r="N24" s="151">
        <f t="shared" ref="N24:N31" si="12">+L24+M24</f>
        <v>0</v>
      </c>
      <c r="O24" s="15"/>
      <c r="P24" s="152"/>
      <c r="Q24" s="152"/>
      <c r="R24" s="152"/>
      <c r="S24" s="152"/>
      <c r="T24" s="152"/>
      <c r="U24" s="153"/>
      <c r="V24" s="154"/>
      <c r="W24" s="154"/>
      <c r="X24" s="154"/>
      <c r="Y24" s="154"/>
      <c r="Z24" s="54"/>
      <c r="AA24" s="147"/>
      <c r="AB24" s="147"/>
      <c r="AC24" s="147"/>
      <c r="AD24" s="147"/>
      <c r="AE24" s="147"/>
      <c r="AF24" s="147"/>
      <c r="AG24" s="147"/>
      <c r="AH24" s="147"/>
      <c r="AI24" s="147"/>
      <c r="AJ24" s="147"/>
      <c r="AK24" s="155"/>
      <c r="AL24" s="155"/>
    </row>
    <row r="25" spans="2:38" x14ac:dyDescent="0.35">
      <c r="B25" s="144" t="s">
        <v>169</v>
      </c>
      <c r="C25" s="145" t="s">
        <v>170</v>
      </c>
      <c r="D25" s="156"/>
      <c r="E25" s="147">
        <v>8044.85</v>
      </c>
      <c r="F25" s="147" t="s">
        <v>86</v>
      </c>
      <c r="G25" s="15"/>
      <c r="H25" s="148"/>
      <c r="I25" s="149">
        <f t="shared" si="8"/>
        <v>0</v>
      </c>
      <c r="J25" s="149">
        <f t="shared" si="9"/>
        <v>0</v>
      </c>
      <c r="K25" s="15"/>
      <c r="L25" s="150">
        <f t="shared" si="10"/>
        <v>0</v>
      </c>
      <c r="M25" s="151">
        <f t="shared" si="11"/>
        <v>0</v>
      </c>
      <c r="N25" s="151">
        <f t="shared" si="12"/>
        <v>0</v>
      </c>
      <c r="O25" s="15"/>
      <c r="P25" s="157"/>
      <c r="Q25" s="157"/>
      <c r="R25" s="157"/>
      <c r="S25" s="157"/>
      <c r="T25" s="157"/>
      <c r="U25" s="158"/>
      <c r="V25" s="159"/>
      <c r="W25" s="159"/>
      <c r="X25" s="159"/>
      <c r="Y25" s="159"/>
      <c r="Z25" s="54"/>
      <c r="AA25" s="160"/>
      <c r="AB25" s="160"/>
      <c r="AC25" s="160"/>
      <c r="AD25" s="160"/>
      <c r="AE25" s="160"/>
      <c r="AF25" s="160"/>
      <c r="AG25" s="160"/>
      <c r="AH25" s="160"/>
      <c r="AI25" s="160"/>
      <c r="AJ25" s="160"/>
      <c r="AK25" s="161"/>
      <c r="AL25" s="161"/>
    </row>
    <row r="26" spans="2:38" x14ac:dyDescent="0.35">
      <c r="B26" s="144" t="s">
        <v>172</v>
      </c>
      <c r="C26" s="145" t="s">
        <v>173</v>
      </c>
      <c r="D26" s="156"/>
      <c r="E26" s="147">
        <v>13294.6</v>
      </c>
      <c r="F26" s="147" t="s">
        <v>86</v>
      </c>
      <c r="G26" s="15"/>
      <c r="H26" s="148"/>
      <c r="I26" s="149">
        <f t="shared" si="8"/>
        <v>0</v>
      </c>
      <c r="J26" s="149">
        <f t="shared" si="9"/>
        <v>0</v>
      </c>
      <c r="K26" s="15"/>
      <c r="L26" s="150">
        <f t="shared" si="10"/>
        <v>0</v>
      </c>
      <c r="M26" s="151">
        <f t="shared" si="11"/>
        <v>0</v>
      </c>
      <c r="N26" s="151">
        <f t="shared" si="12"/>
        <v>0</v>
      </c>
      <c r="O26" s="15"/>
      <c r="P26" s="157"/>
      <c r="Q26" s="157"/>
      <c r="R26" s="157"/>
      <c r="S26" s="157"/>
      <c r="T26" s="157"/>
      <c r="U26" s="158"/>
      <c r="V26" s="159"/>
      <c r="W26" s="159"/>
      <c r="X26" s="159"/>
      <c r="Y26" s="159"/>
      <c r="Z26" s="54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1"/>
      <c r="AL26" s="161"/>
    </row>
    <row r="27" spans="2:38" x14ac:dyDescent="0.35">
      <c r="B27" s="144" t="s">
        <v>175</v>
      </c>
      <c r="C27" s="145" t="s">
        <v>176</v>
      </c>
      <c r="D27" s="156"/>
      <c r="E27" s="147">
        <v>10552.3</v>
      </c>
      <c r="F27" s="147" t="s">
        <v>86</v>
      </c>
      <c r="G27" s="15"/>
      <c r="H27" s="148"/>
      <c r="I27" s="149">
        <f t="shared" si="8"/>
        <v>0</v>
      </c>
      <c r="J27" s="149">
        <f t="shared" si="9"/>
        <v>0</v>
      </c>
      <c r="K27" s="15"/>
      <c r="L27" s="150">
        <f t="shared" si="10"/>
        <v>0</v>
      </c>
      <c r="M27" s="151">
        <f t="shared" si="11"/>
        <v>0</v>
      </c>
      <c r="N27" s="151">
        <f t="shared" si="12"/>
        <v>0</v>
      </c>
      <c r="O27" s="15"/>
      <c r="P27" s="157"/>
      <c r="Q27" s="157"/>
      <c r="R27" s="157"/>
      <c r="S27" s="157"/>
      <c r="T27" s="157"/>
      <c r="U27" s="158"/>
      <c r="V27" s="159"/>
      <c r="W27" s="159"/>
      <c r="X27" s="159"/>
      <c r="Y27" s="159"/>
      <c r="Z27" s="54"/>
      <c r="AA27" s="160"/>
      <c r="AB27" s="160"/>
      <c r="AC27" s="160"/>
      <c r="AD27" s="160"/>
      <c r="AE27" s="160"/>
      <c r="AF27" s="160"/>
      <c r="AG27" s="160"/>
      <c r="AH27" s="160"/>
      <c r="AI27" s="160"/>
      <c r="AJ27" s="160"/>
      <c r="AK27" s="161"/>
      <c r="AL27" s="161"/>
    </row>
    <row r="28" spans="2:38" x14ac:dyDescent="0.35">
      <c r="B28" s="144" t="s">
        <v>178</v>
      </c>
      <c r="C28" s="145" t="s">
        <v>179</v>
      </c>
      <c r="D28" s="156"/>
      <c r="E28" s="147">
        <v>10552.3</v>
      </c>
      <c r="F28" s="147" t="s">
        <v>86</v>
      </c>
      <c r="G28" s="15"/>
      <c r="H28" s="148"/>
      <c r="I28" s="149">
        <f t="shared" si="8"/>
        <v>0</v>
      </c>
      <c r="J28" s="149">
        <f t="shared" si="9"/>
        <v>0</v>
      </c>
      <c r="K28" s="15"/>
      <c r="L28" s="150">
        <f t="shared" si="10"/>
        <v>0</v>
      </c>
      <c r="M28" s="151">
        <f t="shared" si="11"/>
        <v>0</v>
      </c>
      <c r="N28" s="151">
        <f t="shared" si="12"/>
        <v>0</v>
      </c>
      <c r="O28" s="15"/>
      <c r="P28" s="157"/>
      <c r="Q28" s="157"/>
      <c r="R28" s="157"/>
      <c r="S28" s="157"/>
      <c r="T28" s="157"/>
      <c r="U28" s="158"/>
      <c r="V28" s="159"/>
      <c r="W28" s="159"/>
      <c r="X28" s="159"/>
      <c r="Y28" s="159"/>
      <c r="Z28" s="54"/>
      <c r="AA28" s="160"/>
      <c r="AB28" s="160"/>
      <c r="AC28" s="160"/>
      <c r="AD28" s="160"/>
      <c r="AE28" s="160"/>
      <c r="AF28" s="160"/>
      <c r="AG28" s="160"/>
      <c r="AH28" s="160"/>
      <c r="AI28" s="160"/>
      <c r="AJ28" s="160"/>
      <c r="AK28" s="161"/>
      <c r="AL28" s="161"/>
    </row>
    <row r="29" spans="2:38" x14ac:dyDescent="0.35">
      <c r="B29" s="144" t="s">
        <v>181</v>
      </c>
      <c r="C29" s="145" t="s">
        <v>182</v>
      </c>
      <c r="D29" s="156"/>
      <c r="E29" s="147">
        <v>6386.05</v>
      </c>
      <c r="F29" s="147" t="s">
        <v>86</v>
      </c>
      <c r="G29" s="15"/>
      <c r="H29" s="148"/>
      <c r="I29" s="149">
        <f t="shared" si="8"/>
        <v>0</v>
      </c>
      <c r="J29" s="149">
        <f t="shared" si="9"/>
        <v>0</v>
      </c>
      <c r="K29" s="15"/>
      <c r="L29" s="150">
        <f t="shared" si="10"/>
        <v>0</v>
      </c>
      <c r="M29" s="151">
        <f t="shared" si="11"/>
        <v>0</v>
      </c>
      <c r="N29" s="151">
        <f t="shared" si="12"/>
        <v>0</v>
      </c>
      <c r="O29" s="15"/>
      <c r="P29" s="157"/>
      <c r="Q29" s="157"/>
      <c r="R29" s="157"/>
      <c r="S29" s="157"/>
      <c r="T29" s="157"/>
      <c r="U29" s="158"/>
      <c r="V29" s="159"/>
      <c r="W29" s="159"/>
      <c r="X29" s="159"/>
      <c r="Y29" s="159"/>
      <c r="Z29" s="54"/>
      <c r="AA29" s="160"/>
      <c r="AB29" s="160"/>
      <c r="AC29" s="160"/>
      <c r="AD29" s="160"/>
      <c r="AE29" s="160"/>
      <c r="AF29" s="160"/>
      <c r="AG29" s="160"/>
      <c r="AH29" s="160"/>
      <c r="AI29" s="160"/>
      <c r="AJ29" s="160"/>
      <c r="AK29" s="161"/>
      <c r="AL29" s="161"/>
    </row>
    <row r="30" spans="2:38" x14ac:dyDescent="0.35">
      <c r="B30" s="144" t="s">
        <v>184</v>
      </c>
      <c r="C30" s="145" t="s">
        <v>185</v>
      </c>
      <c r="D30" s="156"/>
      <c r="E30" s="147">
        <v>4819.1000000000004</v>
      </c>
      <c r="F30" s="147" t="s">
        <v>86</v>
      </c>
      <c r="G30" s="15"/>
      <c r="H30" s="148"/>
      <c r="I30" s="149">
        <f t="shared" si="8"/>
        <v>0</v>
      </c>
      <c r="J30" s="149">
        <f t="shared" si="9"/>
        <v>0</v>
      </c>
      <c r="K30" s="15"/>
      <c r="L30" s="150">
        <f t="shared" si="10"/>
        <v>0</v>
      </c>
      <c r="M30" s="151">
        <f t="shared" si="11"/>
        <v>0</v>
      </c>
      <c r="N30" s="151">
        <f t="shared" si="12"/>
        <v>0</v>
      </c>
      <c r="O30" s="15"/>
      <c r="P30" s="157"/>
      <c r="Q30" s="157"/>
      <c r="R30" s="157"/>
      <c r="S30" s="157"/>
      <c r="T30" s="157"/>
      <c r="U30" s="158"/>
      <c r="V30" s="159"/>
      <c r="W30" s="159"/>
      <c r="X30" s="159"/>
      <c r="Y30" s="159"/>
      <c r="Z30" s="54"/>
      <c r="AA30" s="160"/>
      <c r="AB30" s="160"/>
      <c r="AC30" s="160"/>
      <c r="AD30" s="160"/>
      <c r="AE30" s="160"/>
      <c r="AF30" s="160"/>
      <c r="AG30" s="160"/>
      <c r="AH30" s="160"/>
      <c r="AI30" s="160"/>
      <c r="AJ30" s="160"/>
      <c r="AK30" s="161"/>
      <c r="AL30" s="161"/>
    </row>
    <row r="31" spans="2:38" x14ac:dyDescent="0.35">
      <c r="B31" s="144" t="s">
        <v>187</v>
      </c>
      <c r="C31" s="145" t="s">
        <v>188</v>
      </c>
      <c r="D31" s="156"/>
      <c r="E31" s="147">
        <v>1684.65</v>
      </c>
      <c r="F31" s="147" t="s">
        <v>86</v>
      </c>
      <c r="G31" s="15"/>
      <c r="H31" s="148"/>
      <c r="I31" s="149">
        <f t="shared" si="8"/>
        <v>0</v>
      </c>
      <c r="J31" s="149">
        <f t="shared" si="9"/>
        <v>0</v>
      </c>
      <c r="K31" s="15"/>
      <c r="L31" s="150">
        <f t="shared" si="10"/>
        <v>0</v>
      </c>
      <c r="M31" s="151">
        <f t="shared" si="11"/>
        <v>0</v>
      </c>
      <c r="N31" s="151">
        <f t="shared" si="12"/>
        <v>0</v>
      </c>
      <c r="O31" s="15"/>
      <c r="P31" s="157"/>
      <c r="Q31" s="157"/>
      <c r="R31" s="157"/>
      <c r="S31" s="157"/>
      <c r="T31" s="157"/>
      <c r="U31" s="158"/>
      <c r="V31" s="159"/>
      <c r="W31" s="159"/>
      <c r="X31" s="159"/>
      <c r="Y31" s="159"/>
      <c r="Z31" s="54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1"/>
      <c r="AL31" s="161"/>
    </row>
    <row r="32" spans="2:38" x14ac:dyDescent="0.35">
      <c r="B32" s="144" t="s">
        <v>190</v>
      </c>
      <c r="C32" s="145" t="s">
        <v>191</v>
      </c>
      <c r="D32" s="156"/>
      <c r="E32" s="147">
        <v>1684.65</v>
      </c>
      <c r="F32" s="147" t="s">
        <v>86</v>
      </c>
      <c r="G32" s="15"/>
      <c r="H32" s="148"/>
      <c r="I32" s="149"/>
      <c r="J32" s="149"/>
      <c r="K32" s="15"/>
      <c r="L32" s="150"/>
      <c r="M32" s="151"/>
      <c r="N32" s="151"/>
      <c r="O32" s="15"/>
      <c r="P32" s="157"/>
      <c r="Q32" s="157"/>
      <c r="R32" s="157"/>
      <c r="S32" s="157"/>
      <c r="T32" s="157"/>
      <c r="U32" s="158"/>
      <c r="V32" s="159"/>
      <c r="W32" s="159"/>
      <c r="X32" s="159"/>
      <c r="Y32" s="159"/>
      <c r="Z32" s="54"/>
      <c r="AA32" s="160"/>
      <c r="AB32" s="160"/>
      <c r="AC32" s="160"/>
      <c r="AD32" s="160"/>
      <c r="AE32" s="160"/>
      <c r="AF32" s="160"/>
      <c r="AG32" s="160"/>
      <c r="AH32" s="160"/>
      <c r="AI32" s="160"/>
      <c r="AJ32" s="160"/>
      <c r="AK32" s="161"/>
      <c r="AL32" s="161"/>
    </row>
    <row r="33" spans="2:38" x14ac:dyDescent="0.35">
      <c r="B33" s="144"/>
      <c r="C33" s="164"/>
      <c r="D33" s="227"/>
      <c r="E33" s="166"/>
      <c r="F33" s="166"/>
      <c r="G33" s="15"/>
      <c r="H33" s="167"/>
      <c r="I33" s="168"/>
      <c r="J33" s="168"/>
      <c r="K33" s="15"/>
      <c r="L33" s="169"/>
      <c r="M33" s="170"/>
      <c r="N33" s="170"/>
      <c r="O33" s="15"/>
      <c r="P33" s="157"/>
      <c r="Q33" s="157"/>
      <c r="R33" s="157"/>
      <c r="S33" s="157"/>
      <c r="T33" s="157"/>
      <c r="U33" s="158"/>
      <c r="V33" s="159"/>
      <c r="W33" s="159"/>
      <c r="X33" s="159"/>
      <c r="Y33" s="159"/>
      <c r="Z33" s="54"/>
      <c r="AA33" s="160"/>
      <c r="AB33" s="160"/>
      <c r="AC33" s="160"/>
      <c r="AD33" s="160"/>
      <c r="AE33" s="160"/>
      <c r="AF33" s="160"/>
      <c r="AG33" s="160"/>
      <c r="AH33" s="160"/>
      <c r="AI33" s="160"/>
      <c r="AJ33" s="160"/>
      <c r="AK33" s="161"/>
      <c r="AL33" s="226"/>
    </row>
    <row r="34" spans="2:38" x14ac:dyDescent="0.35">
      <c r="B34" s="171"/>
      <c r="C34" s="172" t="s">
        <v>195</v>
      </c>
      <c r="D34" s="173"/>
      <c r="E34" s="174"/>
      <c r="F34" s="174"/>
      <c r="G34" s="15"/>
      <c r="H34" s="175">
        <f>SUBTOTAL(9,H24:H32)</f>
        <v>0</v>
      </c>
      <c r="I34" s="175">
        <f>SUBTOTAL(9,I24:I32)</f>
        <v>0</v>
      </c>
      <c r="J34" s="176">
        <f>SUBTOTAL(9,J24:J32)</f>
        <v>0</v>
      </c>
      <c r="K34" s="60"/>
      <c r="L34" s="177">
        <f>SUBTOTAL(9,L24:L32)</f>
        <v>0</v>
      </c>
      <c r="M34" s="178">
        <f>SUBTOTAL(9,M24:M32)</f>
        <v>0</v>
      </c>
      <c r="N34" s="178">
        <f>SUBTOTAL(9,N24:N32)</f>
        <v>0</v>
      </c>
      <c r="O34" s="15"/>
      <c r="P34" s="175">
        <f t="shared" ref="P34:Y34" si="13">SUBTOTAL(9,P24:P32)</f>
        <v>0</v>
      </c>
      <c r="Q34" s="175">
        <f t="shared" si="13"/>
        <v>0</v>
      </c>
      <c r="R34" s="175">
        <f t="shared" si="13"/>
        <v>0</v>
      </c>
      <c r="S34" s="175">
        <f t="shared" si="13"/>
        <v>0</v>
      </c>
      <c r="T34" s="175">
        <f t="shared" si="13"/>
        <v>0</v>
      </c>
      <c r="U34" s="175">
        <f t="shared" si="13"/>
        <v>0</v>
      </c>
      <c r="V34" s="175">
        <f t="shared" si="13"/>
        <v>0</v>
      </c>
      <c r="W34" s="175">
        <f t="shared" si="13"/>
        <v>0</v>
      </c>
      <c r="X34" s="175">
        <f t="shared" si="13"/>
        <v>0</v>
      </c>
      <c r="Y34" s="175">
        <f t="shared" si="13"/>
        <v>0</v>
      </c>
      <c r="Z34" s="54"/>
      <c r="AA34" s="178">
        <f t="shared" ref="AA34:AJ34" si="14">SUBTOTAL(9,AA24:AA32)</f>
        <v>0</v>
      </c>
      <c r="AB34" s="178">
        <f t="shared" si="14"/>
        <v>0</v>
      </c>
      <c r="AC34" s="178">
        <f t="shared" si="14"/>
        <v>0</v>
      </c>
      <c r="AD34" s="178">
        <f t="shared" si="14"/>
        <v>0</v>
      </c>
      <c r="AE34" s="178">
        <f t="shared" si="14"/>
        <v>0</v>
      </c>
      <c r="AF34" s="178">
        <f t="shared" si="14"/>
        <v>0</v>
      </c>
      <c r="AG34" s="178">
        <f t="shared" si="14"/>
        <v>0</v>
      </c>
      <c r="AH34" s="178">
        <f t="shared" si="14"/>
        <v>0</v>
      </c>
      <c r="AI34" s="178">
        <f t="shared" si="14"/>
        <v>0</v>
      </c>
      <c r="AJ34" s="178">
        <f t="shared" si="14"/>
        <v>0</v>
      </c>
      <c r="AK34" s="178"/>
      <c r="AL34" s="220"/>
    </row>
    <row r="35" spans="2:38" x14ac:dyDescent="0.35">
      <c r="D35" s="185"/>
    </row>
    <row r="36" spans="2:38" x14ac:dyDescent="0.35">
      <c r="B36" s="171"/>
      <c r="C36" s="172" t="s">
        <v>196</v>
      </c>
      <c r="D36" s="173"/>
      <c r="E36" s="174"/>
      <c r="F36" s="174"/>
      <c r="G36" s="15"/>
      <c r="H36" s="175">
        <f>SUBTOTAL(9,H11:H35)-H34</f>
        <v>0</v>
      </c>
      <c r="I36" s="175">
        <f>SUBTOTAL(9,I11:I35)-I34</f>
        <v>9</v>
      </c>
      <c r="J36" s="176">
        <f>SUBTOTAL(9,J11:J35)-J34</f>
        <v>9</v>
      </c>
      <c r="K36" s="60"/>
      <c r="L36" s="187">
        <f>SUBTOTAL(9,L11:L35)</f>
        <v>0</v>
      </c>
      <c r="M36" s="187">
        <f>SUBTOTAL(9,M11:M35)</f>
        <v>348397.29999999993</v>
      </c>
      <c r="N36" s="187">
        <f>SUBTOTAL(9,N11:N35)</f>
        <v>348397.29999999993</v>
      </c>
      <c r="O36" s="15"/>
      <c r="P36" s="175">
        <f t="shared" ref="P36:Y36" si="15">SUBTOTAL(9,P11:P35)-P34</f>
        <v>0</v>
      </c>
      <c r="Q36" s="175">
        <f t="shared" si="15"/>
        <v>9</v>
      </c>
      <c r="R36" s="175">
        <f t="shared" si="15"/>
        <v>0</v>
      </c>
      <c r="S36" s="175">
        <f t="shared" si="15"/>
        <v>0</v>
      </c>
      <c r="T36" s="175">
        <f t="shared" si="15"/>
        <v>0</v>
      </c>
      <c r="U36" s="175">
        <f t="shared" si="15"/>
        <v>0</v>
      </c>
      <c r="V36" s="175">
        <f t="shared" si="15"/>
        <v>0</v>
      </c>
      <c r="W36" s="175">
        <f t="shared" si="15"/>
        <v>0</v>
      </c>
      <c r="X36" s="175">
        <f t="shared" si="15"/>
        <v>0</v>
      </c>
      <c r="Y36" s="175">
        <f t="shared" si="15"/>
        <v>0</v>
      </c>
      <c r="Z36" s="54"/>
      <c r="AA36" s="187">
        <f t="shared" ref="AA36:AJ36" si="16">SUBTOTAL(9,AA11:AA35)</f>
        <v>0</v>
      </c>
      <c r="AB36" s="187">
        <f t="shared" si="16"/>
        <v>348397.29999999993</v>
      </c>
      <c r="AC36" s="187">
        <f t="shared" si="16"/>
        <v>0</v>
      </c>
      <c r="AD36" s="187">
        <f t="shared" si="16"/>
        <v>0</v>
      </c>
      <c r="AE36" s="187">
        <f t="shared" si="16"/>
        <v>0</v>
      </c>
      <c r="AF36" s="187">
        <f t="shared" si="16"/>
        <v>0</v>
      </c>
      <c r="AG36" s="187">
        <f t="shared" si="16"/>
        <v>0</v>
      </c>
      <c r="AH36" s="187">
        <f t="shared" si="16"/>
        <v>0</v>
      </c>
      <c r="AI36" s="187">
        <f t="shared" si="16"/>
        <v>0</v>
      </c>
      <c r="AJ36" s="187">
        <f t="shared" si="16"/>
        <v>0</v>
      </c>
      <c r="AK36" s="178"/>
    </row>
  </sheetData>
  <mergeCells count="2">
    <mergeCell ref="P9:Y9"/>
    <mergeCell ref="AA9:AJ9"/>
  </mergeCells>
  <conditionalFormatting sqref="D12:D22">
    <cfRule type="duplicateValues" dxfId="5" priority="4"/>
  </conditionalFormatting>
  <conditionalFormatting sqref="D24:D34">
    <cfRule type="duplicateValues" dxfId="4" priority="3"/>
  </conditionalFormatting>
  <conditionalFormatting sqref="D36">
    <cfRule type="duplicateValues" dxfId="3" priority="2"/>
  </conditionalFormatting>
  <pageMargins left="0.7" right="0.7" top="0.75" bottom="0.75" header="0.511811023622047" footer="0.511811023622047"/>
  <pageSetup paperSize="9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pageSetUpPr fitToPage="1"/>
  </sheetPr>
  <dimension ref="B1:CH41"/>
  <sheetViews>
    <sheetView topLeftCell="A4" zoomScale="90" zoomScaleNormal="90" workbookViewId="0">
      <pane xSplit="6" ySplit="8" topLeftCell="AH12" activePane="bottomRight" state="frozen"/>
      <selection activeCell="A4" sqref="A4"/>
      <selection pane="topRight" activeCell="H4" sqref="H4"/>
      <selection pane="bottomLeft" activeCell="A12" sqref="A12"/>
      <selection pane="bottomRight" activeCell="I12" sqref="I12:AT37"/>
    </sheetView>
  </sheetViews>
  <sheetFormatPr defaultColWidth="8.6328125" defaultRowHeight="14.5" outlineLevelCol="1" x14ac:dyDescent="0.35"/>
  <cols>
    <col min="1" max="1" width="4.453125" customWidth="1"/>
    <col min="2" max="2" width="16.7265625" customWidth="1"/>
    <col min="3" max="3" width="40.453125" customWidth="1"/>
    <col min="4" max="4" width="14.453125" customWidth="1"/>
    <col min="5" max="5" width="11.7265625" customWidth="1"/>
    <col min="7" max="7" width="2" customWidth="1"/>
    <col min="8" max="8" width="6.08984375" customWidth="1"/>
    <col min="9" max="12" width="6.6328125" bestFit="1" customWidth="1"/>
    <col min="13" max="13" width="6.08984375" customWidth="1"/>
    <col min="14" max="14" width="6.6328125" bestFit="1" customWidth="1"/>
    <col min="15" max="16" width="6.08984375" customWidth="1"/>
    <col min="17" max="27" width="6.1796875" customWidth="1"/>
    <col min="28" max="30" width="5.26953125" customWidth="1"/>
    <col min="31" max="41" width="7.26953125" customWidth="1"/>
    <col min="42" max="42" width="5.6328125" bestFit="1" customWidth="1"/>
    <col min="43" max="43" width="7.26953125" customWidth="1"/>
    <col min="44" max="44" width="5.6328125" bestFit="1" customWidth="1"/>
    <col min="46" max="47" width="10.26953125" customWidth="1"/>
    <col min="49" max="49" width="6.6328125" bestFit="1" customWidth="1"/>
    <col min="50" max="52" width="13.26953125" customWidth="1"/>
    <col min="53" max="53" width="3.54296875" hidden="1" customWidth="1" outlineLevel="1"/>
    <col min="54" max="63" width="9.1796875" hidden="1" customWidth="1" outlineLevel="1"/>
    <col min="64" max="64" width="2" hidden="1" customWidth="1" outlineLevel="1"/>
    <col min="65" max="65" width="9.1796875" hidden="1" customWidth="1" outlineLevel="1"/>
    <col min="66" max="67" width="13.26953125" hidden="1" customWidth="1" outlineLevel="1"/>
    <col min="68" max="74" width="9.1796875" hidden="1" customWidth="1" outlineLevel="1"/>
    <col min="75" max="75" width="11.1796875" bestFit="1" customWidth="1" collapsed="1"/>
    <col min="76" max="76" width="21.81640625" customWidth="1"/>
    <col min="77" max="77" width="31.7265625" customWidth="1"/>
  </cols>
  <sheetData>
    <row r="1" spans="2:86" x14ac:dyDescent="0.35">
      <c r="B1" s="60" t="s">
        <v>48</v>
      </c>
      <c r="C1" s="15" t="str">
        <f>Payment_Summary!C3</f>
        <v>PH-AA-0001</v>
      </c>
    </row>
    <row r="2" spans="2:86" x14ac:dyDescent="0.35">
      <c r="B2" s="60" t="s">
        <v>49</v>
      </c>
      <c r="C2" s="15" t="str">
        <f>Payment_Summary!C4</f>
        <v xml:space="preserve">PLANT HIRE SERVICES FOR BENTHIC REMOVAL </v>
      </c>
    </row>
    <row r="3" spans="2:86" x14ac:dyDescent="0.35">
      <c r="B3" s="60" t="s">
        <v>50</v>
      </c>
      <c r="C3" s="15" t="str">
        <f>Payment_Summary!C5</f>
        <v>Rirratjingu Enterprises Pty Ltd (ACN 56 639 548 137)</v>
      </c>
    </row>
    <row r="4" spans="2:86" x14ac:dyDescent="0.35">
      <c r="B4" s="60" t="s">
        <v>51</v>
      </c>
      <c r="C4" s="15" t="str">
        <f>Payment_Summary!C6</f>
        <v>Z-2264070.04.50.30.01</v>
      </c>
    </row>
    <row r="5" spans="2:86" x14ac:dyDescent="0.35">
      <c r="B5" s="60" t="s">
        <v>52</v>
      </c>
      <c r="C5" s="15" t="str">
        <f>Payment_Summary!C7</f>
        <v>PC004</v>
      </c>
    </row>
    <row r="6" spans="2:86" x14ac:dyDescent="0.35">
      <c r="B6" s="60" t="s">
        <v>53</v>
      </c>
      <c r="C6" s="15" t="str">
        <f>Payment_Summary!C8</f>
        <v>06/12/25 - 31/01/25</v>
      </c>
    </row>
    <row r="8" spans="2:86" x14ac:dyDescent="0.35">
      <c r="B8" s="60" t="s">
        <v>197</v>
      </c>
    </row>
    <row r="10" spans="2:86" s="15" customFormat="1" ht="48.75" customHeight="1" x14ac:dyDescent="0.35">
      <c r="B10" s="66" t="s">
        <v>103</v>
      </c>
      <c r="C10" s="66" t="s">
        <v>198</v>
      </c>
      <c r="D10" s="70" t="s">
        <v>199</v>
      </c>
      <c r="E10" s="138" t="s">
        <v>200</v>
      </c>
      <c r="F10" s="138" t="s">
        <v>201</v>
      </c>
      <c r="H10" s="188">
        <f>'A.2.3 Labour Costs'!G10</f>
        <v>45997</v>
      </c>
      <c r="I10" s="188">
        <f>'A.2.3 Labour Costs'!H10</f>
        <v>45998</v>
      </c>
      <c r="J10" s="188">
        <f>'A.2.3 Labour Costs'!I10</f>
        <v>45999</v>
      </c>
      <c r="K10" s="188">
        <f>'A.2.3 Labour Costs'!J10</f>
        <v>46000</v>
      </c>
      <c r="L10" s="188">
        <f>'A.2.3 Labour Costs'!K10</f>
        <v>46001</v>
      </c>
      <c r="M10" s="188">
        <f>'A.2.3 Labour Costs'!L10</f>
        <v>46002</v>
      </c>
      <c r="N10" s="188">
        <f>'A.2.3 Labour Costs'!M10</f>
        <v>46003</v>
      </c>
      <c r="O10" s="188">
        <f>'A.2.3 Labour Costs'!N10</f>
        <v>46004</v>
      </c>
      <c r="P10" s="188">
        <f>'A.2.3 Labour Costs'!O10</f>
        <v>46005</v>
      </c>
      <c r="Q10" s="188">
        <f>'A.2.3 Labour Costs'!P10</f>
        <v>46006</v>
      </c>
      <c r="R10" s="188">
        <f>'A.2.3 Labour Costs'!Q10</f>
        <v>46007</v>
      </c>
      <c r="S10" s="188">
        <f>'A.2.3 Labour Costs'!R10</f>
        <v>46008</v>
      </c>
      <c r="T10" s="188">
        <f>'A.2.3 Labour Costs'!S10</f>
        <v>46009</v>
      </c>
      <c r="U10" s="188">
        <f>'A.2.3 Labour Costs'!T10</f>
        <v>46010</v>
      </c>
      <c r="V10" s="188">
        <f>'A.2.3 Labour Costs'!U10</f>
        <v>46011</v>
      </c>
      <c r="W10" s="188">
        <f>'A.2.3 Labour Costs'!V10</f>
        <v>46012</v>
      </c>
      <c r="X10" s="188">
        <f>'A.2.3 Labour Costs'!W10</f>
        <v>46013</v>
      </c>
      <c r="Y10" s="188">
        <f>'A.2.3 Labour Costs'!X10</f>
        <v>46014</v>
      </c>
      <c r="Z10" s="188">
        <f>'A.2.3 Labour Costs'!Y10</f>
        <v>46015</v>
      </c>
      <c r="AA10" s="188">
        <f>'A.2.3 Labour Costs'!Z10</f>
        <v>46016</v>
      </c>
      <c r="AB10" s="188">
        <f>'A.2.3 Labour Costs'!AA10</f>
        <v>46017</v>
      </c>
      <c r="AC10" s="188">
        <f>'A.2.3 Labour Costs'!AB10</f>
        <v>46018</v>
      </c>
      <c r="AD10" s="188">
        <f>'A.2.3 Labour Costs'!AC10</f>
        <v>46019</v>
      </c>
      <c r="AE10" s="188">
        <f>'A.2.3 Labour Costs'!AD10</f>
        <v>46020</v>
      </c>
      <c r="AF10" s="188">
        <f>'A.2.3 Labour Costs'!AE10</f>
        <v>46021</v>
      </c>
      <c r="AG10" s="188">
        <f>'A.2.3 Labour Costs'!AF10</f>
        <v>46022</v>
      </c>
      <c r="AH10" s="188">
        <f>'A.2.3 Labour Costs'!AG10</f>
        <v>46023</v>
      </c>
      <c r="AI10" s="188">
        <f>'A.2.3 Labour Costs'!AH10</f>
        <v>46024</v>
      </c>
      <c r="AJ10" s="188">
        <f>'A.2.3 Labour Costs'!AI10</f>
        <v>46025</v>
      </c>
      <c r="AK10" s="188">
        <f>'A.2.3 Labour Costs'!AJ10</f>
        <v>46026</v>
      </c>
      <c r="AL10" s="188">
        <f>'A.2.3 Labour Costs'!AK10</f>
        <v>46027</v>
      </c>
      <c r="AM10" s="188">
        <f>'A.2.3 Labour Costs'!AL10</f>
        <v>46028</v>
      </c>
      <c r="AN10" s="188">
        <f>'A.2.3 Labour Costs'!AM10</f>
        <v>46029</v>
      </c>
      <c r="AO10" s="188">
        <f>'A.2.3 Labour Costs'!AN10</f>
        <v>46030</v>
      </c>
      <c r="AP10" s="228">
        <v>46031</v>
      </c>
      <c r="AQ10" s="228">
        <v>46032</v>
      </c>
      <c r="AR10" s="228">
        <v>46033</v>
      </c>
      <c r="AS10" s="228">
        <v>46034</v>
      </c>
      <c r="AT10" s="228">
        <v>46035</v>
      </c>
      <c r="AU10" s="228">
        <v>46036</v>
      </c>
      <c r="AV10" s="228">
        <v>46037</v>
      </c>
      <c r="AW10" s="228">
        <v>46038</v>
      </c>
      <c r="AX10" s="228">
        <v>46039</v>
      </c>
      <c r="AY10" s="188">
        <f>'A.2.3 Labour Costs'!AX10</f>
        <v>46040</v>
      </c>
      <c r="AZ10" s="188">
        <f>'A.2.3 Labour Costs'!BK10</f>
        <v>46053</v>
      </c>
      <c r="BB10" s="70" t="s">
        <v>202</v>
      </c>
      <c r="BC10" s="229" t="s">
        <v>203</v>
      </c>
      <c r="BD10" s="70" t="s">
        <v>109</v>
      </c>
      <c r="BE10" s="70" t="s">
        <v>110</v>
      </c>
      <c r="BG10" s="70" t="s">
        <v>111</v>
      </c>
      <c r="BH10" s="70" t="s">
        <v>112</v>
      </c>
      <c r="BI10" s="70" t="s">
        <v>113</v>
      </c>
      <c r="BK10" s="71" t="s">
        <v>114</v>
      </c>
      <c r="BL10" s="71" t="s">
        <v>115</v>
      </c>
      <c r="BM10" s="71" t="s">
        <v>116</v>
      </c>
      <c r="BN10" s="71" t="s">
        <v>2</v>
      </c>
      <c r="BO10" s="71" t="s">
        <v>117</v>
      </c>
      <c r="BP10" s="71" t="s">
        <v>118</v>
      </c>
      <c r="BQ10" s="71" t="s">
        <v>119</v>
      </c>
      <c r="BR10" s="71" t="s">
        <v>120</v>
      </c>
      <c r="BS10" s="71" t="s">
        <v>121</v>
      </c>
      <c r="BT10" s="71" t="s">
        <v>122</v>
      </c>
      <c r="BU10" s="54"/>
      <c r="BV10" s="71" t="str">
        <f t="shared" ref="BV10:CE10" si="0">BB10</f>
        <v>Hours as per signed Dayworks</v>
      </c>
      <c r="BW10" s="71" t="str">
        <f t="shared" si="0"/>
        <v>Combined monthly hours</v>
      </c>
      <c r="BX10" s="71" t="str">
        <f t="shared" si="0"/>
        <v>Previous Payments
Hours</v>
      </c>
      <c r="BY10" s="71" t="str">
        <f t="shared" si="0"/>
        <v>Total Payment
Hours</v>
      </c>
      <c r="BZ10" s="71">
        <f t="shared" si="0"/>
        <v>0</v>
      </c>
      <c r="CA10" s="71" t="str">
        <f t="shared" si="0"/>
        <v>This Payment
AUD</v>
      </c>
      <c r="CB10" s="71" t="str">
        <f t="shared" si="0"/>
        <v>Previous Payments
AUD</v>
      </c>
      <c r="CC10" s="71" t="str">
        <f t="shared" si="0"/>
        <v>Total Payment
AUD</v>
      </c>
      <c r="CD10" s="71">
        <f t="shared" si="0"/>
        <v>0</v>
      </c>
      <c r="CE10" s="71" t="str">
        <f t="shared" si="0"/>
        <v>PC001</v>
      </c>
      <c r="CF10" s="54"/>
      <c r="CG10" s="139" t="s">
        <v>123</v>
      </c>
      <c r="CH10" s="139" t="s">
        <v>124</v>
      </c>
    </row>
    <row r="11" spans="2:86" s="15" customFormat="1" ht="18" customHeight="1" x14ac:dyDescent="0.35">
      <c r="B11" s="140"/>
      <c r="C11" s="141"/>
      <c r="D11" s="230"/>
      <c r="E11" s="142"/>
      <c r="F11" s="142"/>
      <c r="H11" s="191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  <c r="AG11" s="140"/>
      <c r="AH11" s="140"/>
      <c r="AI11" s="140"/>
      <c r="AJ11" s="140"/>
      <c r="AK11" s="140"/>
      <c r="AL11" s="140"/>
      <c r="AM11" s="140"/>
      <c r="AN11" s="140"/>
      <c r="AO11" s="140"/>
      <c r="AP11" s="140"/>
      <c r="AQ11" s="140"/>
      <c r="AR11" s="140"/>
      <c r="AS11" s="140"/>
      <c r="AT11" s="140"/>
      <c r="AU11" s="140"/>
      <c r="AV11" s="140"/>
      <c r="AW11" s="140"/>
      <c r="AX11" s="140"/>
      <c r="AY11" s="140"/>
      <c r="AZ11" s="140"/>
      <c r="BB11" s="140"/>
      <c r="BC11" s="140"/>
      <c r="BD11" s="140"/>
      <c r="BE11" s="140"/>
      <c r="BG11" s="140"/>
      <c r="BH11" s="140"/>
      <c r="BI11" s="140"/>
      <c r="BK11" s="143"/>
      <c r="BL11" s="143"/>
      <c r="BM11" s="143"/>
      <c r="BN11" s="143"/>
      <c r="BO11" s="143"/>
      <c r="BP11" s="143"/>
      <c r="BQ11" s="143"/>
      <c r="BR11" s="143"/>
      <c r="BS11" s="143"/>
      <c r="BT11" s="143"/>
      <c r="BU11" s="54"/>
      <c r="BV11" s="143"/>
      <c r="BW11" s="143"/>
      <c r="BX11" s="143"/>
      <c r="BY11" s="143"/>
      <c r="BZ11" s="143"/>
      <c r="CA11" s="143"/>
      <c r="CB11" s="143"/>
      <c r="CC11" s="143"/>
      <c r="CD11" s="143"/>
      <c r="CE11" s="143"/>
      <c r="CF11" s="54"/>
      <c r="CG11" s="192"/>
      <c r="CH11" s="231"/>
    </row>
    <row r="12" spans="2:86" s="15" customFormat="1" ht="15.75" customHeight="1" x14ac:dyDescent="0.35">
      <c r="B12" s="344" t="s">
        <v>166</v>
      </c>
      <c r="C12" s="232" t="s">
        <v>167</v>
      </c>
      <c r="D12" s="345" t="s">
        <v>168</v>
      </c>
      <c r="E12" s="233">
        <v>1530.65</v>
      </c>
      <c r="F12" s="234">
        <f t="shared" ref="F12:F37" si="1">E12/11</f>
        <v>139.15</v>
      </c>
      <c r="H12" s="212"/>
      <c r="I12" s="212">
        <v>6</v>
      </c>
      <c r="J12" s="208">
        <v>4</v>
      </c>
      <c r="K12" s="208">
        <v>7</v>
      </c>
      <c r="L12" s="208">
        <v>6</v>
      </c>
      <c r="M12" s="208">
        <v>8</v>
      </c>
      <c r="N12" s="208">
        <v>8</v>
      </c>
      <c r="O12" s="208">
        <v>8</v>
      </c>
      <c r="P12" s="208"/>
      <c r="Q12" s="208"/>
      <c r="R12" s="208"/>
      <c r="S12" s="208"/>
      <c r="T12" s="208"/>
      <c r="U12" s="208"/>
      <c r="V12" s="208"/>
      <c r="W12" s="208"/>
      <c r="X12" s="208"/>
      <c r="Y12" s="208"/>
      <c r="Z12" s="208"/>
      <c r="AA12" s="208"/>
      <c r="AB12" s="208"/>
      <c r="AC12" s="208"/>
      <c r="AD12" s="208"/>
      <c r="AE12" s="208"/>
      <c r="AF12" s="208"/>
      <c r="AG12" s="208"/>
      <c r="AH12" s="208"/>
      <c r="AI12" s="208"/>
      <c r="AJ12" s="208"/>
      <c r="AK12" s="208"/>
      <c r="AL12" s="208"/>
      <c r="AM12" s="208">
        <v>7</v>
      </c>
      <c r="AN12" s="208">
        <v>6</v>
      </c>
      <c r="AO12" s="208">
        <v>5</v>
      </c>
      <c r="AP12" s="208"/>
      <c r="AQ12" s="208"/>
      <c r="AR12" s="208"/>
      <c r="AS12" s="208">
        <v>4</v>
      </c>
      <c r="AT12" s="346">
        <v>8</v>
      </c>
      <c r="AU12" s="208">
        <v>6</v>
      </c>
      <c r="AV12" s="208">
        <v>8</v>
      </c>
      <c r="AW12" s="208">
        <v>8</v>
      </c>
      <c r="AX12" s="208">
        <v>3</v>
      </c>
      <c r="AY12" s="208">
        <v>2</v>
      </c>
      <c r="AZ12" s="208"/>
      <c r="BB12" s="200">
        <f t="shared" ref="BB12:BB37" si="2">SUM(H12:AR12)</f>
        <v>65</v>
      </c>
      <c r="BC12" s="235">
        <f>SUM(AS12:AS14)</f>
        <v>11</v>
      </c>
      <c r="BD12" s="236" t="e">
        <f t="shared" ref="BD12:BD37" ca="1" si="3">SUM(BC12:BK12)</f>
        <v>#VALUE!</v>
      </c>
      <c r="BE12" s="237">
        <f t="shared" ref="BE12:BE37" si="4">AS12+AU12</f>
        <v>10</v>
      </c>
      <c r="BG12" s="202">
        <f t="shared" ref="BG12:BG37" si="5">F12*AS12</f>
        <v>556.6</v>
      </c>
      <c r="BH12" s="203">
        <f t="shared" ref="BH12:BH37" si="6">SUM(BM12:BV12)</f>
        <v>148</v>
      </c>
      <c r="BI12" s="203">
        <f t="shared" ref="BI12:BI37" si="7">+AX12+AY12</f>
        <v>5</v>
      </c>
      <c r="BK12" s="204"/>
      <c r="BL12" s="204">
        <v>88</v>
      </c>
      <c r="BM12" s="204">
        <v>148</v>
      </c>
      <c r="BN12" s="204"/>
      <c r="BO12" s="204"/>
      <c r="BP12" s="205"/>
      <c r="BQ12" s="206"/>
      <c r="BR12" s="206"/>
      <c r="BS12" s="206"/>
      <c r="BT12" s="206"/>
      <c r="BU12" s="54"/>
      <c r="BV12" s="207"/>
      <c r="BW12" s="207">
        <v>12245.2</v>
      </c>
      <c r="BX12" s="207">
        <v>20594.2</v>
      </c>
      <c r="BY12" s="207"/>
      <c r="BZ12" s="207"/>
      <c r="CA12" s="207"/>
      <c r="CB12" s="207"/>
      <c r="CC12" s="207"/>
      <c r="CD12" s="207"/>
      <c r="CE12" s="207"/>
      <c r="CF12" s="54"/>
      <c r="CG12" s="193"/>
      <c r="CH12" s="193" t="s">
        <v>157</v>
      </c>
    </row>
    <row r="13" spans="2:86" s="15" customFormat="1" ht="15.75" customHeight="1" x14ac:dyDescent="0.35">
      <c r="B13" s="344"/>
      <c r="C13" s="195" t="s">
        <v>204</v>
      </c>
      <c r="D13" s="345"/>
      <c r="E13" s="197">
        <v>919.6</v>
      </c>
      <c r="F13" s="238">
        <f t="shared" si="1"/>
        <v>83.600000000000009</v>
      </c>
      <c r="H13" s="212"/>
      <c r="I13" s="212">
        <v>4</v>
      </c>
      <c r="J13" s="208">
        <v>6</v>
      </c>
      <c r="K13" s="208">
        <v>3</v>
      </c>
      <c r="L13" s="208">
        <v>5</v>
      </c>
      <c r="M13" s="208">
        <v>3</v>
      </c>
      <c r="N13" s="208">
        <v>3</v>
      </c>
      <c r="O13" s="208">
        <v>3</v>
      </c>
      <c r="P13" s="208">
        <v>10</v>
      </c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>
        <v>10</v>
      </c>
      <c r="AM13" s="208">
        <v>4</v>
      </c>
      <c r="AN13" s="208">
        <v>5</v>
      </c>
      <c r="AO13" s="208">
        <v>6</v>
      </c>
      <c r="AP13" s="208"/>
      <c r="AQ13" s="208"/>
      <c r="AR13" s="208"/>
      <c r="AS13" s="208">
        <v>7</v>
      </c>
      <c r="AT13" s="346">
        <v>3</v>
      </c>
      <c r="AU13" s="208">
        <v>5</v>
      </c>
      <c r="AV13" s="208">
        <v>3</v>
      </c>
      <c r="AW13" s="208">
        <v>3</v>
      </c>
      <c r="AX13" s="208">
        <v>8</v>
      </c>
      <c r="AY13" s="208">
        <v>9</v>
      </c>
      <c r="AZ13" s="208"/>
      <c r="BB13" s="200">
        <f t="shared" si="2"/>
        <v>62</v>
      </c>
      <c r="BC13" s="239"/>
      <c r="BD13" s="236" t="e">
        <f t="shared" ca="1" si="3"/>
        <v>#VALUE!</v>
      </c>
      <c r="BE13" s="237">
        <f t="shared" si="4"/>
        <v>12</v>
      </c>
      <c r="BG13" s="202">
        <f t="shared" si="5"/>
        <v>585.20000000000005</v>
      </c>
      <c r="BH13" s="203">
        <f t="shared" si="6"/>
        <v>113.5</v>
      </c>
      <c r="BI13" s="203">
        <f t="shared" si="7"/>
        <v>17</v>
      </c>
      <c r="BK13" s="204"/>
      <c r="BL13" s="204">
        <v>76</v>
      </c>
      <c r="BM13" s="204">
        <v>113.5</v>
      </c>
      <c r="BN13" s="204"/>
      <c r="BO13" s="204"/>
      <c r="BP13" s="205"/>
      <c r="BQ13" s="206"/>
      <c r="BR13" s="206"/>
      <c r="BS13" s="206"/>
      <c r="BT13" s="206"/>
      <c r="BU13" s="54"/>
      <c r="BV13" s="207"/>
      <c r="BW13" s="207">
        <v>6353.6</v>
      </c>
      <c r="BX13" s="207">
        <v>9488.6</v>
      </c>
      <c r="BY13" s="207"/>
      <c r="BZ13" s="207"/>
      <c r="CA13" s="207"/>
      <c r="CB13" s="207"/>
      <c r="CC13" s="207"/>
      <c r="CD13" s="207"/>
      <c r="CE13" s="207"/>
      <c r="CF13" s="54"/>
      <c r="CG13" s="193"/>
      <c r="CH13" s="193"/>
    </row>
    <row r="14" spans="2:86" s="15" customFormat="1" ht="15.75" customHeight="1" x14ac:dyDescent="0.35">
      <c r="B14" s="344"/>
      <c r="C14" s="240" t="s">
        <v>205</v>
      </c>
      <c r="D14" s="345"/>
      <c r="E14" s="241">
        <v>0</v>
      </c>
      <c r="F14" s="242">
        <f t="shared" si="1"/>
        <v>0</v>
      </c>
      <c r="H14" s="212"/>
      <c r="I14" s="212"/>
      <c r="J14" s="208"/>
      <c r="K14" s="208"/>
      <c r="L14" s="208"/>
      <c r="M14" s="208"/>
      <c r="N14" s="208"/>
      <c r="O14" s="208"/>
      <c r="P14" s="208"/>
      <c r="Q14" s="208"/>
      <c r="R14" s="208"/>
      <c r="S14" s="208"/>
      <c r="T14" s="208"/>
      <c r="U14" s="208"/>
      <c r="V14" s="208"/>
      <c r="W14" s="208"/>
      <c r="X14" s="208"/>
      <c r="Y14" s="208"/>
      <c r="Z14" s="208"/>
      <c r="AA14" s="208"/>
      <c r="AB14" s="208"/>
      <c r="AC14" s="208"/>
      <c r="AD14" s="208"/>
      <c r="AE14" s="208"/>
      <c r="AF14" s="208"/>
      <c r="AG14" s="208"/>
      <c r="AH14" s="208"/>
      <c r="AI14" s="208"/>
      <c r="AJ14" s="208"/>
      <c r="AK14" s="208"/>
      <c r="AL14" s="208"/>
      <c r="AM14" s="208"/>
      <c r="AN14" s="208"/>
      <c r="AO14" s="208"/>
      <c r="AP14" s="208"/>
      <c r="AQ14" s="208"/>
      <c r="AR14" s="208"/>
      <c r="AS14" s="208"/>
      <c r="AT14" s="346"/>
      <c r="AU14" s="208"/>
      <c r="AV14" s="208"/>
      <c r="AW14" s="208"/>
      <c r="AX14" s="208"/>
      <c r="AY14" s="208"/>
      <c r="AZ14" s="208"/>
      <c r="BB14" s="200">
        <f t="shared" si="2"/>
        <v>0</v>
      </c>
      <c r="BC14" s="243"/>
      <c r="BD14" s="236" t="e">
        <f t="shared" ca="1" si="3"/>
        <v>#VALUE!</v>
      </c>
      <c r="BE14" s="237">
        <f t="shared" si="4"/>
        <v>0</v>
      </c>
      <c r="BG14" s="202">
        <f t="shared" si="5"/>
        <v>0</v>
      </c>
      <c r="BH14" s="203">
        <f t="shared" si="6"/>
        <v>29</v>
      </c>
      <c r="BI14" s="203">
        <f t="shared" si="7"/>
        <v>0</v>
      </c>
      <c r="BK14" s="204"/>
      <c r="BL14" s="204"/>
      <c r="BM14" s="204">
        <v>29</v>
      </c>
      <c r="BN14" s="204"/>
      <c r="BO14" s="204"/>
      <c r="BP14" s="205"/>
      <c r="BQ14" s="206"/>
      <c r="BR14" s="206"/>
      <c r="BS14" s="206"/>
      <c r="BT14" s="206"/>
      <c r="BU14" s="54"/>
      <c r="BV14" s="207"/>
      <c r="BW14" s="207"/>
      <c r="BX14" s="207">
        <v>0</v>
      </c>
      <c r="BY14" s="207"/>
      <c r="BZ14" s="207"/>
      <c r="CA14" s="207"/>
      <c r="CB14" s="207"/>
      <c r="CC14" s="207"/>
      <c r="CE14" s="207"/>
      <c r="CF14" s="54"/>
      <c r="CG14" s="193"/>
      <c r="CH14" s="193"/>
    </row>
    <row r="15" spans="2:86" s="15" customFormat="1" ht="15.75" customHeight="1" x14ac:dyDescent="0.35">
      <c r="B15" s="344" t="s">
        <v>169</v>
      </c>
      <c r="C15" s="232" t="s">
        <v>170</v>
      </c>
      <c r="D15" s="345" t="s">
        <v>171</v>
      </c>
      <c r="E15" s="233">
        <v>1851.3</v>
      </c>
      <c r="F15" s="234">
        <f t="shared" si="1"/>
        <v>168.29999999999998</v>
      </c>
      <c r="H15" s="212"/>
      <c r="I15" s="212">
        <v>7</v>
      </c>
      <c r="J15" s="208">
        <v>5</v>
      </c>
      <c r="K15" s="208">
        <v>7</v>
      </c>
      <c r="L15" s="208">
        <v>8</v>
      </c>
      <c r="M15" s="208">
        <v>8</v>
      </c>
      <c r="N15" s="208">
        <v>8</v>
      </c>
      <c r="O15" s="208">
        <v>5</v>
      </c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  <c r="AA15" s="208"/>
      <c r="AB15" s="208"/>
      <c r="AC15" s="208"/>
      <c r="AD15" s="208"/>
      <c r="AE15" s="208"/>
      <c r="AF15" s="208"/>
      <c r="AG15" s="208"/>
      <c r="AH15" s="208"/>
      <c r="AI15" s="208"/>
      <c r="AJ15" s="208"/>
      <c r="AK15" s="208"/>
      <c r="AL15" s="208"/>
      <c r="AM15" s="208"/>
      <c r="AN15" s="208"/>
      <c r="AO15" s="208"/>
      <c r="AP15" s="208">
        <v>3</v>
      </c>
      <c r="AQ15" s="208">
        <v>5</v>
      </c>
      <c r="AR15" s="208">
        <v>7</v>
      </c>
      <c r="AS15" s="208">
        <v>3</v>
      </c>
      <c r="AT15" s="346">
        <v>6</v>
      </c>
      <c r="AU15" s="208">
        <v>8</v>
      </c>
      <c r="AV15" s="208">
        <v>5</v>
      </c>
      <c r="AW15" s="208">
        <v>5</v>
      </c>
      <c r="AX15" s="208">
        <v>3</v>
      </c>
      <c r="AY15" s="208">
        <v>2</v>
      </c>
      <c r="AZ15" s="208"/>
      <c r="BB15" s="200">
        <f t="shared" si="2"/>
        <v>63</v>
      </c>
      <c r="BC15" s="235">
        <f>SUM(AS15:AS17)</f>
        <v>11</v>
      </c>
      <c r="BD15" s="236" t="e">
        <f t="shared" ca="1" si="3"/>
        <v>#VALUE!</v>
      </c>
      <c r="BE15" s="237">
        <f t="shared" si="4"/>
        <v>11</v>
      </c>
      <c r="BG15" s="202">
        <f t="shared" si="5"/>
        <v>504.9</v>
      </c>
      <c r="BH15" s="203">
        <f t="shared" si="6"/>
        <v>160</v>
      </c>
      <c r="BI15" s="203">
        <f t="shared" si="7"/>
        <v>5</v>
      </c>
      <c r="BK15" s="204"/>
      <c r="BL15" s="204">
        <v>22</v>
      </c>
      <c r="BM15" s="204">
        <v>160</v>
      </c>
      <c r="BN15" s="204"/>
      <c r="BO15" s="204"/>
      <c r="BP15" s="205"/>
      <c r="BQ15" s="206"/>
      <c r="BR15" s="206"/>
      <c r="BS15" s="206"/>
      <c r="BT15" s="206"/>
      <c r="BU15" s="54"/>
      <c r="BV15" s="207"/>
      <c r="BW15" s="207">
        <v>3702.6</v>
      </c>
      <c r="BX15" s="207">
        <v>26928</v>
      </c>
      <c r="BY15" s="207"/>
      <c r="BZ15" s="207"/>
      <c r="CA15" s="207"/>
      <c r="CB15" s="207"/>
      <c r="CC15" s="207"/>
      <c r="CD15" s="207"/>
      <c r="CE15" s="207"/>
      <c r="CF15" s="54"/>
      <c r="CG15" s="193"/>
      <c r="CH15" s="193"/>
    </row>
    <row r="16" spans="2:86" s="15" customFormat="1" ht="15.75" customHeight="1" x14ac:dyDescent="0.35">
      <c r="B16" s="344"/>
      <c r="C16" s="195" t="s">
        <v>206</v>
      </c>
      <c r="D16" s="345"/>
      <c r="E16" s="197">
        <v>1113.2</v>
      </c>
      <c r="F16" s="238">
        <f t="shared" si="1"/>
        <v>101.2</v>
      </c>
      <c r="H16" s="212"/>
      <c r="I16" s="212">
        <v>3</v>
      </c>
      <c r="J16" s="208">
        <v>5</v>
      </c>
      <c r="K16" s="208">
        <v>3</v>
      </c>
      <c r="L16" s="208">
        <v>3</v>
      </c>
      <c r="M16" s="208">
        <v>3</v>
      </c>
      <c r="N16" s="208">
        <v>3</v>
      </c>
      <c r="O16" s="208">
        <v>6</v>
      </c>
      <c r="P16" s="208">
        <v>10</v>
      </c>
      <c r="Q16" s="208"/>
      <c r="R16" s="208"/>
      <c r="S16" s="208"/>
      <c r="T16" s="208"/>
      <c r="U16" s="208"/>
      <c r="V16" s="208"/>
      <c r="W16" s="208"/>
      <c r="X16" s="208"/>
      <c r="Y16" s="208"/>
      <c r="Z16" s="208"/>
      <c r="AA16" s="208"/>
      <c r="AB16" s="208"/>
      <c r="AC16" s="208"/>
      <c r="AD16" s="208"/>
      <c r="AE16" s="208"/>
      <c r="AF16" s="208"/>
      <c r="AG16" s="208"/>
      <c r="AH16" s="208"/>
      <c r="AI16" s="208"/>
      <c r="AJ16" s="208"/>
      <c r="AK16" s="208"/>
      <c r="AL16" s="208"/>
      <c r="AM16" s="208"/>
      <c r="AN16" s="208"/>
      <c r="AO16" s="208"/>
      <c r="AP16" s="208">
        <v>7</v>
      </c>
      <c r="AQ16" s="208">
        <v>5</v>
      </c>
      <c r="AR16" s="208">
        <v>4</v>
      </c>
      <c r="AS16" s="208">
        <v>8</v>
      </c>
      <c r="AT16" s="346">
        <v>5</v>
      </c>
      <c r="AU16" s="208">
        <v>3</v>
      </c>
      <c r="AV16" s="208">
        <v>6</v>
      </c>
      <c r="AW16" s="208">
        <v>6</v>
      </c>
      <c r="AX16" s="208">
        <v>8</v>
      </c>
      <c r="AY16" s="208">
        <v>9</v>
      </c>
      <c r="AZ16" s="208"/>
      <c r="BB16" s="200">
        <f t="shared" si="2"/>
        <v>52</v>
      </c>
      <c r="BC16" s="239"/>
      <c r="BD16" s="236" t="e">
        <f t="shared" ca="1" si="3"/>
        <v>#VALUE!</v>
      </c>
      <c r="BE16" s="237">
        <f t="shared" si="4"/>
        <v>11</v>
      </c>
      <c r="BG16" s="202">
        <f t="shared" si="5"/>
        <v>809.6</v>
      </c>
      <c r="BH16" s="203">
        <f t="shared" si="6"/>
        <v>130.5</v>
      </c>
      <c r="BI16" s="203">
        <f t="shared" si="7"/>
        <v>17</v>
      </c>
      <c r="BK16" s="204"/>
      <c r="BL16" s="204">
        <v>25</v>
      </c>
      <c r="BM16" s="204">
        <v>130.5</v>
      </c>
      <c r="BN16" s="204"/>
      <c r="BO16" s="204"/>
      <c r="BP16" s="205"/>
      <c r="BQ16" s="206"/>
      <c r="BR16" s="206"/>
      <c r="BS16" s="206"/>
      <c r="BT16" s="206"/>
      <c r="BU16" s="54"/>
      <c r="BV16" s="207"/>
      <c r="BW16" s="207">
        <v>2530</v>
      </c>
      <c r="BX16" s="207">
        <v>13206.6</v>
      </c>
      <c r="BY16" s="207"/>
      <c r="BZ16" s="207"/>
      <c r="CA16" s="207"/>
      <c r="CB16" s="207"/>
      <c r="CC16" s="207"/>
      <c r="CD16" s="207"/>
      <c r="CE16" s="207"/>
      <c r="CF16" s="54"/>
      <c r="CG16" s="193"/>
      <c r="CH16" s="193"/>
    </row>
    <row r="17" spans="2:86" s="15" customFormat="1" ht="15.75" customHeight="1" x14ac:dyDescent="0.35">
      <c r="B17" s="344"/>
      <c r="C17" s="240" t="s">
        <v>207</v>
      </c>
      <c r="D17" s="345"/>
      <c r="E17" s="241">
        <v>0</v>
      </c>
      <c r="F17" s="242">
        <f t="shared" si="1"/>
        <v>0</v>
      </c>
      <c r="H17" s="212"/>
      <c r="I17" s="212"/>
      <c r="J17" s="208"/>
      <c r="K17" s="208"/>
      <c r="L17" s="208"/>
      <c r="M17" s="208"/>
      <c r="N17" s="208"/>
      <c r="O17" s="208"/>
      <c r="P17" s="208"/>
      <c r="Q17" s="208"/>
      <c r="R17" s="208"/>
      <c r="S17" s="208"/>
      <c r="T17" s="208"/>
      <c r="U17" s="208"/>
      <c r="V17" s="208"/>
      <c r="W17" s="208"/>
      <c r="X17" s="208"/>
      <c r="Y17" s="208"/>
      <c r="Z17" s="208"/>
      <c r="AA17" s="208"/>
      <c r="AB17" s="208"/>
      <c r="AC17" s="208"/>
      <c r="AD17" s="208"/>
      <c r="AE17" s="208"/>
      <c r="AF17" s="208"/>
      <c r="AG17" s="208"/>
      <c r="AH17" s="208"/>
      <c r="AI17" s="208"/>
      <c r="AJ17" s="208"/>
      <c r="AK17" s="208"/>
      <c r="AL17" s="208"/>
      <c r="AM17" s="208"/>
      <c r="AN17" s="208"/>
      <c r="AO17" s="208"/>
      <c r="AP17" s="208"/>
      <c r="AQ17" s="208"/>
      <c r="AR17" s="208"/>
      <c r="AS17" s="208"/>
      <c r="AT17" s="346"/>
      <c r="AU17" s="208"/>
      <c r="AV17" s="208"/>
      <c r="AW17" s="208"/>
      <c r="AX17" s="208"/>
      <c r="AY17" s="208"/>
      <c r="AZ17" s="208"/>
      <c r="BB17" s="200">
        <f t="shared" si="2"/>
        <v>0</v>
      </c>
      <c r="BC17" s="243"/>
      <c r="BD17" s="236" t="e">
        <f t="shared" ca="1" si="3"/>
        <v>#VALUE!</v>
      </c>
      <c r="BE17" s="237">
        <f t="shared" si="4"/>
        <v>0</v>
      </c>
      <c r="BG17" s="202">
        <f t="shared" si="5"/>
        <v>0</v>
      </c>
      <c r="BH17" s="203">
        <f t="shared" si="6"/>
        <v>0</v>
      </c>
      <c r="BI17" s="203">
        <f t="shared" si="7"/>
        <v>0</v>
      </c>
      <c r="BK17" s="204"/>
      <c r="BL17" s="204">
        <v>8</v>
      </c>
      <c r="BM17" s="204">
        <v>0</v>
      </c>
      <c r="BN17" s="204"/>
      <c r="BO17" s="204"/>
      <c r="BP17" s="205"/>
      <c r="BQ17" s="206"/>
      <c r="BR17" s="206"/>
      <c r="BS17" s="206"/>
      <c r="BT17" s="206"/>
      <c r="BU17" s="54"/>
      <c r="BV17" s="207"/>
      <c r="BW17" s="207">
        <v>0</v>
      </c>
      <c r="BX17" s="207">
        <v>0</v>
      </c>
      <c r="BY17" s="207"/>
      <c r="BZ17" s="207"/>
      <c r="CA17" s="207"/>
      <c r="CB17" s="207"/>
      <c r="CC17" s="207"/>
      <c r="CD17" s="207"/>
      <c r="CE17" s="207"/>
      <c r="CF17" s="54"/>
      <c r="CG17" s="193"/>
      <c r="CH17" s="193"/>
    </row>
    <row r="18" spans="2:86" s="15" customFormat="1" ht="15.75" customHeight="1" x14ac:dyDescent="0.35">
      <c r="B18" s="344" t="s">
        <v>172</v>
      </c>
      <c r="C18" s="232" t="s">
        <v>173</v>
      </c>
      <c r="D18" s="345" t="s">
        <v>174</v>
      </c>
      <c r="E18" s="233">
        <v>2813.25</v>
      </c>
      <c r="F18" s="234">
        <f t="shared" si="1"/>
        <v>255.75</v>
      </c>
      <c r="H18" s="212"/>
      <c r="I18" s="212">
        <v>2.3999999999996402</v>
      </c>
      <c r="J18" s="208">
        <v>3</v>
      </c>
      <c r="K18" s="208">
        <v>3</v>
      </c>
      <c r="L18" s="208">
        <v>8.1000000000003602</v>
      </c>
      <c r="M18" s="208"/>
      <c r="N18" s="208"/>
      <c r="O18" s="208"/>
      <c r="P18" s="208"/>
      <c r="Q18" s="208"/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208"/>
      <c r="AC18" s="208"/>
      <c r="AD18" s="208"/>
      <c r="AE18" s="208"/>
      <c r="AF18" s="208"/>
      <c r="AG18" s="208"/>
      <c r="AH18" s="208"/>
      <c r="AI18" s="208"/>
      <c r="AJ18" s="208"/>
      <c r="AK18" s="208"/>
      <c r="AL18" s="208"/>
      <c r="AM18" s="208"/>
      <c r="AN18" s="208"/>
      <c r="AO18" s="208"/>
      <c r="AP18" s="208"/>
      <c r="AQ18" s="208"/>
      <c r="AR18" s="208">
        <v>5.3</v>
      </c>
      <c r="AS18" s="208">
        <v>4.0999999999999996</v>
      </c>
      <c r="AT18" s="346">
        <v>5.8999999999996398</v>
      </c>
      <c r="AU18" s="208">
        <v>1.70000000000073</v>
      </c>
      <c r="AV18" s="208">
        <v>7</v>
      </c>
      <c r="AW18" s="208">
        <v>1.5999999999985499</v>
      </c>
      <c r="AX18" s="208"/>
      <c r="AY18" s="208"/>
      <c r="AZ18" s="208"/>
      <c r="BB18" s="200">
        <f t="shared" si="2"/>
        <v>21.8</v>
      </c>
      <c r="BC18" s="235">
        <f>SUM(AS18:AS19)</f>
        <v>11</v>
      </c>
      <c r="BD18" s="236" t="e">
        <f t="shared" ca="1" si="3"/>
        <v>#VALUE!</v>
      </c>
      <c r="BE18" s="237">
        <f t="shared" si="4"/>
        <v>5.8000000000007299</v>
      </c>
      <c r="BG18" s="202">
        <f t="shared" si="5"/>
        <v>1048.5749999999998</v>
      </c>
      <c r="BH18" s="203">
        <f t="shared" si="6"/>
        <v>107.6</v>
      </c>
      <c r="BI18" s="203">
        <f t="shared" si="7"/>
        <v>0</v>
      </c>
      <c r="BK18" s="204"/>
      <c r="BL18" s="204">
        <v>52.3</v>
      </c>
      <c r="BM18" s="204">
        <v>107.6</v>
      </c>
      <c r="BN18" s="204"/>
      <c r="BO18" s="204"/>
      <c r="BP18" s="205"/>
      <c r="BQ18" s="206"/>
      <c r="BR18" s="206"/>
      <c r="BS18" s="206"/>
      <c r="BT18" s="206"/>
      <c r="BU18" s="54"/>
      <c r="BV18" s="207"/>
      <c r="BW18" s="207">
        <v>13375.725</v>
      </c>
      <c r="BX18" s="207">
        <v>27518.7</v>
      </c>
      <c r="BY18" s="207"/>
      <c r="BZ18" s="207"/>
      <c r="CA18" s="207"/>
      <c r="CB18" s="207"/>
      <c r="CC18" s="207"/>
      <c r="CD18" s="207"/>
      <c r="CE18" s="207"/>
      <c r="CF18" s="54"/>
      <c r="CG18" s="193"/>
      <c r="CH18" s="193"/>
    </row>
    <row r="19" spans="2:86" s="15" customFormat="1" ht="15.75" customHeight="1" x14ac:dyDescent="0.35">
      <c r="B19" s="344"/>
      <c r="C19" s="240" t="s">
        <v>208</v>
      </c>
      <c r="D19" s="345"/>
      <c r="E19" s="241">
        <v>1687.95</v>
      </c>
      <c r="F19" s="242">
        <f t="shared" si="1"/>
        <v>153.45000000000002</v>
      </c>
      <c r="H19" s="212"/>
      <c r="I19" s="212">
        <v>8.6</v>
      </c>
      <c r="J19" s="208">
        <v>7</v>
      </c>
      <c r="K19" s="208">
        <v>7</v>
      </c>
      <c r="L19" s="208">
        <v>2.9</v>
      </c>
      <c r="M19" s="208"/>
      <c r="N19" s="208"/>
      <c r="O19" s="208"/>
      <c r="P19" s="208"/>
      <c r="Q19" s="208"/>
      <c r="R19" s="208"/>
      <c r="S19" s="208"/>
      <c r="T19" s="208"/>
      <c r="U19" s="208"/>
      <c r="V19" s="208"/>
      <c r="W19" s="208"/>
      <c r="X19" s="208"/>
      <c r="Y19" s="208"/>
      <c r="Z19" s="208"/>
      <c r="AA19" s="208"/>
      <c r="AB19" s="208"/>
      <c r="AC19" s="208"/>
      <c r="AD19" s="208"/>
      <c r="AE19" s="208"/>
      <c r="AF19" s="208"/>
      <c r="AG19" s="208"/>
      <c r="AH19" s="208"/>
      <c r="AI19" s="208"/>
      <c r="AJ19" s="208"/>
      <c r="AK19" s="208"/>
      <c r="AL19" s="208"/>
      <c r="AM19" s="208"/>
      <c r="AN19" s="208"/>
      <c r="AO19" s="208"/>
      <c r="AP19" s="208"/>
      <c r="AQ19" s="208">
        <v>11</v>
      </c>
      <c r="AR19" s="208">
        <v>5.7</v>
      </c>
      <c r="AS19" s="208">
        <v>6.9</v>
      </c>
      <c r="AT19" s="346">
        <v>5.1000000000003602</v>
      </c>
      <c r="AU19" s="208"/>
      <c r="AV19" s="208">
        <v>4</v>
      </c>
      <c r="AW19" s="208">
        <v>9.4000000000014605</v>
      </c>
      <c r="AX19" s="208"/>
      <c r="AY19" s="208"/>
      <c r="AZ19" s="208"/>
      <c r="BB19" s="200">
        <f t="shared" si="2"/>
        <v>42.2</v>
      </c>
      <c r="BC19" s="243"/>
      <c r="BD19" s="236" t="e">
        <f t="shared" ca="1" si="3"/>
        <v>#VALUE!</v>
      </c>
      <c r="BE19" s="237">
        <f t="shared" si="4"/>
        <v>6.9</v>
      </c>
      <c r="BG19" s="202">
        <f t="shared" si="5"/>
        <v>1058.8050000000001</v>
      </c>
      <c r="BH19" s="203">
        <f t="shared" si="6"/>
        <v>182.9</v>
      </c>
      <c r="BI19" s="203">
        <f t="shared" si="7"/>
        <v>0</v>
      </c>
      <c r="BK19" s="204"/>
      <c r="BL19" s="204">
        <v>112.7</v>
      </c>
      <c r="BM19" s="204">
        <v>182.9</v>
      </c>
      <c r="BN19" s="204"/>
      <c r="BO19" s="204"/>
      <c r="BP19" s="205"/>
      <c r="BQ19" s="206"/>
      <c r="BR19" s="206"/>
      <c r="BS19" s="206"/>
      <c r="BT19" s="206"/>
      <c r="BU19" s="54"/>
      <c r="BV19" s="207"/>
      <c r="BW19" s="207">
        <v>17293.814999999999</v>
      </c>
      <c r="BX19" s="207">
        <v>28066.005000000001</v>
      </c>
      <c r="BY19" s="207"/>
      <c r="BZ19" s="207"/>
      <c r="CA19" s="207"/>
      <c r="CB19" s="207"/>
      <c r="CC19" s="207"/>
      <c r="CD19" s="207"/>
      <c r="CE19" s="207"/>
      <c r="CF19" s="54"/>
      <c r="CG19" s="193"/>
      <c r="CH19" s="193"/>
    </row>
    <row r="20" spans="2:86" s="15" customFormat="1" ht="15.75" customHeight="1" x14ac:dyDescent="0.35">
      <c r="B20" s="344" t="s">
        <v>175</v>
      </c>
      <c r="C20" s="232" t="s">
        <v>176</v>
      </c>
      <c r="D20" s="345" t="s">
        <v>177</v>
      </c>
      <c r="E20" s="233">
        <v>1972.3</v>
      </c>
      <c r="F20" s="234">
        <f t="shared" si="1"/>
        <v>179.29999999999998</v>
      </c>
      <c r="H20" s="212"/>
      <c r="I20" s="212"/>
      <c r="J20" s="208">
        <v>0</v>
      </c>
      <c r="K20" s="208"/>
      <c r="L20" s="208">
        <v>5.2</v>
      </c>
      <c r="M20" s="208">
        <v>7.3</v>
      </c>
      <c r="N20" s="208">
        <v>8.3000000000000007</v>
      </c>
      <c r="O20" s="208">
        <v>4</v>
      </c>
      <c r="P20" s="208"/>
      <c r="Q20" s="208"/>
      <c r="R20" s="208"/>
      <c r="S20" s="208"/>
      <c r="T20" s="208"/>
      <c r="U20" s="208"/>
      <c r="V20" s="208"/>
      <c r="W20" s="208"/>
      <c r="X20" s="208"/>
      <c r="Y20" s="208"/>
      <c r="Z20" s="208"/>
      <c r="AA20" s="208"/>
      <c r="AB20" s="208"/>
      <c r="AC20" s="208"/>
      <c r="AD20" s="208"/>
      <c r="AE20" s="208"/>
      <c r="AF20" s="208"/>
      <c r="AG20" s="208"/>
      <c r="AH20" s="208"/>
      <c r="AI20" s="208"/>
      <c r="AJ20" s="208"/>
      <c r="AK20" s="208"/>
      <c r="AL20" s="208"/>
      <c r="AM20" s="208"/>
      <c r="AN20" s="208"/>
      <c r="AO20" s="208">
        <v>2.2999999999999998</v>
      </c>
      <c r="AP20" s="208">
        <v>4.3</v>
      </c>
      <c r="AQ20" s="208">
        <v>3.7</v>
      </c>
      <c r="AR20" s="208">
        <v>2.5</v>
      </c>
      <c r="AS20" s="208"/>
      <c r="AT20" s="346">
        <v>3.3999999999996402</v>
      </c>
      <c r="AU20" s="208">
        <v>5.8000000000001801</v>
      </c>
      <c r="AV20" s="208">
        <v>5.8000000000001801</v>
      </c>
      <c r="AW20" s="208">
        <v>8</v>
      </c>
      <c r="AX20" s="208">
        <v>2.8000000000001801</v>
      </c>
      <c r="AY20" s="208">
        <v>2.1999999999998199</v>
      </c>
      <c r="AZ20" s="208"/>
      <c r="BB20" s="200">
        <f t="shared" si="2"/>
        <v>37.6</v>
      </c>
      <c r="BC20" s="235">
        <f>SUM(AS20:AS22)</f>
        <v>11</v>
      </c>
      <c r="BD20" s="236" t="e">
        <f t="shared" ca="1" si="3"/>
        <v>#VALUE!</v>
      </c>
      <c r="BE20" s="237">
        <f t="shared" si="4"/>
        <v>5.8000000000001801</v>
      </c>
      <c r="BG20" s="202">
        <f t="shared" si="5"/>
        <v>0</v>
      </c>
      <c r="BH20" s="203">
        <f t="shared" si="6"/>
        <v>148.9</v>
      </c>
      <c r="BI20" s="203">
        <f t="shared" si="7"/>
        <v>5</v>
      </c>
      <c r="BK20" s="204"/>
      <c r="BL20" s="204">
        <v>65.599999999999994</v>
      </c>
      <c r="BM20" s="204">
        <v>148.9</v>
      </c>
      <c r="BN20" s="204"/>
      <c r="BO20" s="204"/>
      <c r="BP20" s="205"/>
      <c r="BQ20" s="206"/>
      <c r="BR20" s="206"/>
      <c r="BS20" s="206"/>
      <c r="BT20" s="206"/>
      <c r="BU20" s="54"/>
      <c r="BV20" s="207"/>
      <c r="BW20" s="207">
        <v>11762.08</v>
      </c>
      <c r="BX20" s="207">
        <v>26697.77</v>
      </c>
      <c r="BY20" s="207"/>
      <c r="BZ20" s="207"/>
      <c r="CA20" s="207"/>
      <c r="CB20" s="207"/>
      <c r="CC20" s="207"/>
      <c r="CD20" s="207"/>
      <c r="CE20" s="207"/>
      <c r="CF20" s="54"/>
      <c r="CG20" s="193"/>
      <c r="CH20" s="193"/>
    </row>
    <row r="21" spans="2:86" s="15" customFormat="1" ht="15.75" customHeight="1" x14ac:dyDescent="0.35">
      <c r="B21" s="344"/>
      <c r="C21" s="195" t="s">
        <v>209</v>
      </c>
      <c r="D21" s="345"/>
      <c r="E21" s="197">
        <v>1185.8</v>
      </c>
      <c r="F21" s="238">
        <f t="shared" si="1"/>
        <v>107.8</v>
      </c>
      <c r="H21" s="212"/>
      <c r="I21" s="212"/>
      <c r="J21" s="208"/>
      <c r="K21" s="208"/>
      <c r="L21" s="208">
        <v>5.8</v>
      </c>
      <c r="M21" s="208">
        <v>3.7</v>
      </c>
      <c r="N21" s="208">
        <v>3.7</v>
      </c>
      <c r="O21" s="208">
        <v>7</v>
      </c>
      <c r="P21" s="208">
        <v>10</v>
      </c>
      <c r="Q21" s="208"/>
      <c r="R21" s="208"/>
      <c r="S21" s="208"/>
      <c r="T21" s="208"/>
      <c r="U21" s="208"/>
      <c r="V21" s="208"/>
      <c r="W21" s="208"/>
      <c r="X21" s="208"/>
      <c r="Y21" s="208"/>
      <c r="Z21" s="208"/>
      <c r="AA21" s="208"/>
      <c r="AB21" s="208"/>
      <c r="AC21" s="208"/>
      <c r="AD21" s="208"/>
      <c r="AE21" s="208"/>
      <c r="AF21" s="208"/>
      <c r="AG21" s="208"/>
      <c r="AH21" s="208"/>
      <c r="AI21" s="208"/>
      <c r="AJ21" s="208"/>
      <c r="AK21" s="208"/>
      <c r="AL21" s="208"/>
      <c r="AM21" s="208"/>
      <c r="AN21" s="208"/>
      <c r="AO21" s="208">
        <v>8.6999999999999993</v>
      </c>
      <c r="AP21" s="208">
        <v>5.7</v>
      </c>
      <c r="AQ21" s="208">
        <v>6.3</v>
      </c>
      <c r="AR21" s="208">
        <v>8.5</v>
      </c>
      <c r="AS21" s="208"/>
      <c r="AT21" s="346">
        <v>7.6000000000003602</v>
      </c>
      <c r="AU21" s="208">
        <v>5.1999999999998199</v>
      </c>
      <c r="AV21" s="208">
        <v>5.1999999999998199</v>
      </c>
      <c r="AW21" s="208">
        <v>3</v>
      </c>
      <c r="AX21" s="208">
        <v>8.1999999999998199</v>
      </c>
      <c r="AY21" s="208">
        <v>8.8000000000001801</v>
      </c>
      <c r="AZ21" s="208"/>
      <c r="BB21" s="200">
        <f t="shared" si="2"/>
        <v>59.4</v>
      </c>
      <c r="BC21" s="239"/>
      <c r="BD21" s="236" t="e">
        <f t="shared" ca="1" si="3"/>
        <v>#VALUE!</v>
      </c>
      <c r="BE21" s="237">
        <f t="shared" si="4"/>
        <v>5.1999999999998199</v>
      </c>
      <c r="BG21" s="202">
        <f t="shared" si="5"/>
        <v>0</v>
      </c>
      <c r="BH21" s="203">
        <f t="shared" si="6"/>
        <v>71.900000000000006</v>
      </c>
      <c r="BI21" s="203">
        <f t="shared" si="7"/>
        <v>17</v>
      </c>
      <c r="BK21" s="204"/>
      <c r="BL21" s="204">
        <v>88.4</v>
      </c>
      <c r="BM21" s="204">
        <v>71.900000000000006</v>
      </c>
      <c r="BN21" s="204"/>
      <c r="BO21" s="204"/>
      <c r="BP21" s="205"/>
      <c r="BQ21" s="206"/>
      <c r="BR21" s="206"/>
      <c r="BS21" s="206"/>
      <c r="BT21" s="206"/>
      <c r="BU21" s="54"/>
      <c r="BV21" s="207"/>
      <c r="BW21" s="207">
        <v>9529.52</v>
      </c>
      <c r="BX21" s="207">
        <v>7750.82</v>
      </c>
      <c r="BY21" s="207"/>
      <c r="BZ21" s="207"/>
      <c r="CA21" s="207"/>
      <c r="CB21" s="207"/>
      <c r="CC21" s="207"/>
      <c r="CD21" s="207"/>
      <c r="CE21" s="207"/>
      <c r="CF21" s="54"/>
      <c r="CG21" s="193"/>
      <c r="CH21" s="193"/>
    </row>
    <row r="22" spans="2:86" s="15" customFormat="1" ht="15.75" customHeight="1" x14ac:dyDescent="0.35">
      <c r="B22" s="344"/>
      <c r="C22" s="240" t="s">
        <v>210</v>
      </c>
      <c r="D22" s="345"/>
      <c r="E22" s="241">
        <v>0</v>
      </c>
      <c r="F22" s="242">
        <f t="shared" si="1"/>
        <v>0</v>
      </c>
      <c r="H22" s="212"/>
      <c r="I22" s="212">
        <v>10</v>
      </c>
      <c r="J22" s="208">
        <v>10</v>
      </c>
      <c r="K22" s="208">
        <v>10</v>
      </c>
      <c r="L22" s="208"/>
      <c r="M22" s="208"/>
      <c r="N22" s="208"/>
      <c r="O22" s="208"/>
      <c r="P22" s="208"/>
      <c r="Q22" s="208"/>
      <c r="R22" s="208"/>
      <c r="S22" s="208"/>
      <c r="T22" s="208"/>
      <c r="U22" s="208"/>
      <c r="V22" s="208"/>
      <c r="W22" s="208"/>
      <c r="X22" s="208"/>
      <c r="Y22" s="208"/>
      <c r="Z22" s="208"/>
      <c r="AA22" s="208"/>
      <c r="AB22" s="208"/>
      <c r="AC22" s="208"/>
      <c r="AD22" s="208"/>
      <c r="AE22" s="208"/>
      <c r="AF22" s="208"/>
      <c r="AG22" s="208"/>
      <c r="AH22" s="208"/>
      <c r="AI22" s="208"/>
      <c r="AJ22" s="208"/>
      <c r="AK22" s="208"/>
      <c r="AL22" s="208"/>
      <c r="AM22" s="208"/>
      <c r="AN22" s="208"/>
      <c r="AO22" s="208"/>
      <c r="AP22" s="208"/>
      <c r="AQ22" s="208"/>
      <c r="AR22" s="208"/>
      <c r="AS22" s="208">
        <v>11</v>
      </c>
      <c r="AT22" s="346"/>
      <c r="AU22" s="208"/>
      <c r="AV22" s="208"/>
      <c r="AW22" s="208"/>
      <c r="AX22" s="208"/>
      <c r="AY22" s="208"/>
      <c r="AZ22" s="208"/>
      <c r="BB22" s="200">
        <f t="shared" si="2"/>
        <v>30</v>
      </c>
      <c r="BC22" s="243"/>
      <c r="BD22" s="236" t="e">
        <f t="shared" ca="1" si="3"/>
        <v>#VALUE!</v>
      </c>
      <c r="BE22" s="237">
        <f t="shared" si="4"/>
        <v>11</v>
      </c>
      <c r="BG22" s="202">
        <f t="shared" si="5"/>
        <v>0</v>
      </c>
      <c r="BH22" s="203">
        <f t="shared" si="6"/>
        <v>69.7</v>
      </c>
      <c r="BI22" s="203">
        <f t="shared" si="7"/>
        <v>0</v>
      </c>
      <c r="BK22" s="204"/>
      <c r="BL22" s="204">
        <v>11</v>
      </c>
      <c r="BM22" s="204">
        <v>69.7</v>
      </c>
      <c r="BN22" s="204"/>
      <c r="BO22" s="204"/>
      <c r="BP22" s="205"/>
      <c r="BQ22" s="206"/>
      <c r="BR22" s="206"/>
      <c r="BS22" s="206"/>
      <c r="BT22" s="206"/>
      <c r="BU22" s="54"/>
      <c r="BV22" s="207"/>
      <c r="BW22" s="207">
        <v>0</v>
      </c>
      <c r="BX22" s="207">
        <v>0</v>
      </c>
      <c r="BY22" s="207"/>
      <c r="BZ22" s="207"/>
      <c r="CA22" s="207"/>
      <c r="CB22" s="207"/>
      <c r="CC22" s="207"/>
      <c r="CD22" s="207"/>
      <c r="CE22" s="207"/>
      <c r="CF22" s="54"/>
      <c r="CG22" s="193"/>
      <c r="CH22" s="193"/>
    </row>
    <row r="23" spans="2:86" s="15" customFormat="1" ht="15.75" customHeight="1" x14ac:dyDescent="0.35">
      <c r="B23" s="344" t="s">
        <v>178</v>
      </c>
      <c r="C23" s="232" t="s">
        <v>179</v>
      </c>
      <c r="D23" s="345" t="s">
        <v>180</v>
      </c>
      <c r="E23" s="233">
        <v>1972.3</v>
      </c>
      <c r="F23" s="234">
        <f t="shared" si="1"/>
        <v>179.29999999999998</v>
      </c>
      <c r="H23" s="212"/>
      <c r="I23" s="212"/>
      <c r="J23" s="208"/>
      <c r="K23" s="208"/>
      <c r="L23" s="208">
        <v>6</v>
      </c>
      <c r="M23" s="208">
        <v>6</v>
      </c>
      <c r="N23" s="208">
        <v>7</v>
      </c>
      <c r="O23" s="208"/>
      <c r="P23" s="208"/>
      <c r="Q23" s="208"/>
      <c r="R23" s="208"/>
      <c r="S23" s="208"/>
      <c r="T23" s="208"/>
      <c r="U23" s="208"/>
      <c r="V23" s="208"/>
      <c r="W23" s="208"/>
      <c r="X23" s="208"/>
      <c r="Y23" s="208"/>
      <c r="Z23" s="208"/>
      <c r="AA23" s="208"/>
      <c r="AB23" s="208"/>
      <c r="AC23" s="208"/>
      <c r="AD23" s="208"/>
      <c r="AE23" s="208"/>
      <c r="AF23" s="208"/>
      <c r="AG23" s="208"/>
      <c r="AH23" s="208"/>
      <c r="AI23" s="208"/>
      <c r="AJ23" s="208"/>
      <c r="AK23" s="208"/>
      <c r="AL23" s="208"/>
      <c r="AM23" s="208"/>
      <c r="AN23" s="208"/>
      <c r="AO23" s="208">
        <v>3.5</v>
      </c>
      <c r="AP23" s="208">
        <v>5</v>
      </c>
      <c r="AQ23" s="208">
        <v>5</v>
      </c>
      <c r="AR23" s="208">
        <v>1</v>
      </c>
      <c r="AS23" s="208"/>
      <c r="AT23" s="346">
        <v>4</v>
      </c>
      <c r="AU23" s="208">
        <v>4</v>
      </c>
      <c r="AV23" s="208">
        <v>5.8000000000001801</v>
      </c>
      <c r="AW23" s="208">
        <v>7.1999999999998199</v>
      </c>
      <c r="AX23" s="208">
        <v>1.5</v>
      </c>
      <c r="AY23" s="208"/>
      <c r="AZ23" s="208"/>
      <c r="BB23" s="200">
        <f t="shared" si="2"/>
        <v>33.5</v>
      </c>
      <c r="BC23" s="235">
        <f>SUM(AS23:AS25)</f>
        <v>11</v>
      </c>
      <c r="BD23" s="236" t="e">
        <f t="shared" ca="1" si="3"/>
        <v>#VALUE!</v>
      </c>
      <c r="BE23" s="237">
        <f t="shared" si="4"/>
        <v>4</v>
      </c>
      <c r="BG23" s="202">
        <f t="shared" si="5"/>
        <v>0</v>
      </c>
      <c r="BH23" s="203">
        <f t="shared" si="6"/>
        <v>3.3</v>
      </c>
      <c r="BI23" s="203">
        <f t="shared" si="7"/>
        <v>1.5</v>
      </c>
      <c r="BK23" s="204"/>
      <c r="BL23" s="204">
        <v>22.5</v>
      </c>
      <c r="BM23" s="204">
        <v>3.3</v>
      </c>
      <c r="BN23" s="204"/>
      <c r="BO23" s="204"/>
      <c r="BP23" s="205"/>
      <c r="BQ23" s="206"/>
      <c r="BR23" s="206"/>
      <c r="BS23" s="206"/>
      <c r="BT23" s="206"/>
      <c r="BU23" s="54"/>
      <c r="BV23" s="207"/>
      <c r="BW23" s="207">
        <v>4034.25</v>
      </c>
      <c r="BX23" s="207">
        <v>591.69000000000005</v>
      </c>
      <c r="BY23" s="207"/>
      <c r="BZ23" s="207"/>
      <c r="CA23" s="207"/>
      <c r="CB23" s="207"/>
      <c r="CC23" s="207"/>
      <c r="CD23" s="207"/>
      <c r="CE23" s="207"/>
      <c r="CF23" s="54"/>
      <c r="CG23" s="193"/>
      <c r="CH23" s="193"/>
    </row>
    <row r="24" spans="2:86" s="15" customFormat="1" ht="15.75" customHeight="1" x14ac:dyDescent="0.35">
      <c r="B24" s="344"/>
      <c r="C24" s="195" t="s">
        <v>211</v>
      </c>
      <c r="D24" s="345"/>
      <c r="E24" s="197">
        <v>1185.8</v>
      </c>
      <c r="F24" s="238">
        <f t="shared" si="1"/>
        <v>107.8</v>
      </c>
      <c r="H24" s="212"/>
      <c r="I24" s="212"/>
      <c r="J24" s="208"/>
      <c r="K24" s="208"/>
      <c r="L24" s="208">
        <v>5</v>
      </c>
      <c r="M24" s="208">
        <v>5</v>
      </c>
      <c r="N24" s="208">
        <v>4</v>
      </c>
      <c r="O24" s="208">
        <v>11</v>
      </c>
      <c r="P24" s="208">
        <v>10</v>
      </c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8"/>
      <c r="AI24" s="208"/>
      <c r="AJ24" s="208"/>
      <c r="AK24" s="208"/>
      <c r="AL24" s="208">
        <v>10</v>
      </c>
      <c r="AM24" s="208">
        <v>11</v>
      </c>
      <c r="AN24" s="208">
        <v>11</v>
      </c>
      <c r="AO24" s="208">
        <v>6.5</v>
      </c>
      <c r="AP24" s="208">
        <v>5</v>
      </c>
      <c r="AQ24" s="208">
        <v>5</v>
      </c>
      <c r="AR24" s="208">
        <v>9</v>
      </c>
      <c r="AS24" s="208"/>
      <c r="AT24" s="346">
        <v>5</v>
      </c>
      <c r="AU24" s="208">
        <v>5</v>
      </c>
      <c r="AV24" s="208">
        <v>5</v>
      </c>
      <c r="AW24" s="208">
        <v>3.8000000000001801</v>
      </c>
      <c r="AX24" s="208">
        <v>9.5</v>
      </c>
      <c r="AY24" s="208">
        <v>11</v>
      </c>
      <c r="AZ24" s="208"/>
      <c r="BB24" s="200">
        <f t="shared" si="2"/>
        <v>92.5</v>
      </c>
      <c r="BC24" s="239"/>
      <c r="BD24" s="236" t="e">
        <f t="shared" ca="1" si="3"/>
        <v>#VALUE!</v>
      </c>
      <c r="BE24" s="237">
        <f t="shared" si="4"/>
        <v>5</v>
      </c>
      <c r="BG24" s="202">
        <f t="shared" si="5"/>
        <v>0</v>
      </c>
      <c r="BH24" s="203">
        <f t="shared" si="6"/>
        <v>0</v>
      </c>
      <c r="BI24" s="203">
        <f t="shared" si="7"/>
        <v>20.5</v>
      </c>
      <c r="BK24" s="204"/>
      <c r="BL24" s="204">
        <v>0</v>
      </c>
      <c r="BM24" s="204">
        <v>0</v>
      </c>
      <c r="BN24" s="204"/>
      <c r="BO24" s="204"/>
      <c r="BP24" s="205"/>
      <c r="BQ24" s="206"/>
      <c r="BR24" s="206"/>
      <c r="BS24" s="206"/>
      <c r="BT24" s="206"/>
      <c r="BU24" s="54"/>
      <c r="BV24" s="207"/>
      <c r="BW24" s="207">
        <v>0</v>
      </c>
      <c r="BX24" s="207">
        <v>0</v>
      </c>
      <c r="BY24" s="207"/>
      <c r="BZ24" s="207"/>
      <c r="CA24" s="207"/>
      <c r="CB24" s="207"/>
      <c r="CC24" s="207"/>
      <c r="CD24" s="207"/>
      <c r="CE24" s="207"/>
      <c r="CF24" s="54"/>
      <c r="CG24" s="193"/>
      <c r="CH24" s="193"/>
    </row>
    <row r="25" spans="2:86" s="15" customFormat="1" ht="15.75" customHeight="1" x14ac:dyDescent="0.35">
      <c r="B25" s="344"/>
      <c r="C25" s="240" t="s">
        <v>212</v>
      </c>
      <c r="D25" s="345"/>
      <c r="E25" s="241">
        <v>0</v>
      </c>
      <c r="F25" s="242">
        <f t="shared" si="1"/>
        <v>0</v>
      </c>
      <c r="H25" s="212"/>
      <c r="I25" s="212">
        <v>10</v>
      </c>
      <c r="J25" s="208">
        <v>10</v>
      </c>
      <c r="K25" s="208">
        <v>10</v>
      </c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  <c r="AD25" s="208"/>
      <c r="AE25" s="208"/>
      <c r="AF25" s="208"/>
      <c r="AG25" s="208"/>
      <c r="AH25" s="208"/>
      <c r="AI25" s="208"/>
      <c r="AJ25" s="208"/>
      <c r="AK25" s="208"/>
      <c r="AL25" s="208"/>
      <c r="AM25" s="208"/>
      <c r="AN25" s="208"/>
      <c r="AO25" s="208"/>
      <c r="AP25" s="208"/>
      <c r="AQ25" s="208"/>
      <c r="AR25" s="208"/>
      <c r="AS25" s="208">
        <v>11</v>
      </c>
      <c r="AT25" s="346">
        <v>2</v>
      </c>
      <c r="AU25" s="208">
        <v>2</v>
      </c>
      <c r="AV25" s="208"/>
      <c r="AW25" s="208"/>
      <c r="AX25" s="208"/>
      <c r="AY25" s="208"/>
      <c r="AZ25" s="208"/>
      <c r="BB25" s="200">
        <f t="shared" si="2"/>
        <v>30</v>
      </c>
      <c r="BC25" s="243"/>
      <c r="BD25" s="236" t="e">
        <f t="shared" ca="1" si="3"/>
        <v>#VALUE!</v>
      </c>
      <c r="BE25" s="237">
        <f t="shared" si="4"/>
        <v>13</v>
      </c>
      <c r="BG25" s="202">
        <f t="shared" si="5"/>
        <v>0</v>
      </c>
      <c r="BH25" s="203">
        <f t="shared" si="6"/>
        <v>287.2</v>
      </c>
      <c r="BI25" s="203">
        <f t="shared" si="7"/>
        <v>0</v>
      </c>
      <c r="BK25" s="204"/>
      <c r="BL25" s="204">
        <v>119.5</v>
      </c>
      <c r="BM25" s="204">
        <v>287.2</v>
      </c>
      <c r="BN25" s="204"/>
      <c r="BO25" s="204"/>
      <c r="BP25" s="205"/>
      <c r="BQ25" s="206"/>
      <c r="BR25" s="206"/>
      <c r="BS25" s="206"/>
      <c r="BT25" s="206"/>
      <c r="BU25" s="54"/>
      <c r="BV25" s="207"/>
      <c r="BW25" s="207">
        <v>0</v>
      </c>
      <c r="BX25" s="207">
        <v>0</v>
      </c>
      <c r="BY25" s="207"/>
      <c r="BZ25" s="207"/>
      <c r="CA25" s="207"/>
      <c r="CB25" s="207"/>
      <c r="CC25" s="207"/>
      <c r="CD25" s="207"/>
      <c r="CE25" s="207"/>
      <c r="CF25" s="54"/>
      <c r="CG25" s="193"/>
      <c r="CH25" s="193"/>
    </row>
    <row r="26" spans="2:86" s="15" customFormat="1" ht="15.75" customHeight="1" x14ac:dyDescent="0.35">
      <c r="B26" s="344" t="s">
        <v>181</v>
      </c>
      <c r="C26" s="232" t="s">
        <v>182</v>
      </c>
      <c r="D26" s="345" t="s">
        <v>183</v>
      </c>
      <c r="E26" s="233">
        <v>1911.8</v>
      </c>
      <c r="F26" s="234">
        <f t="shared" si="1"/>
        <v>173.79999999999998</v>
      </c>
      <c r="H26" s="212"/>
      <c r="I26" s="212">
        <v>3.5</v>
      </c>
      <c r="J26" s="208">
        <v>0</v>
      </c>
      <c r="K26" s="208">
        <v>0.40000000000054597</v>
      </c>
      <c r="L26" s="208">
        <v>0.39999999999963598</v>
      </c>
      <c r="M26" s="208">
        <v>0.5</v>
      </c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8"/>
      <c r="AI26" s="208"/>
      <c r="AJ26" s="208"/>
      <c r="AK26" s="208"/>
      <c r="AL26" s="208"/>
      <c r="AM26" s="208">
        <v>6.1</v>
      </c>
      <c r="AN26" s="208">
        <v>5.4</v>
      </c>
      <c r="AO26" s="208">
        <v>1</v>
      </c>
      <c r="AP26" s="208">
        <v>1.8</v>
      </c>
      <c r="AQ26" s="208">
        <v>3</v>
      </c>
      <c r="AR26" s="208">
        <v>4.8</v>
      </c>
      <c r="AS26" s="208">
        <v>6.8</v>
      </c>
      <c r="AT26" s="346">
        <v>1</v>
      </c>
      <c r="AU26" s="208">
        <v>0.20000000000072801</v>
      </c>
      <c r="AV26" s="208">
        <v>0.39999999999963598</v>
      </c>
      <c r="AW26" s="208">
        <v>0.5</v>
      </c>
      <c r="AX26" s="208"/>
      <c r="AY26" s="208"/>
      <c r="AZ26" s="208"/>
      <c r="BB26" s="200">
        <f t="shared" si="2"/>
        <v>26.900000000000183</v>
      </c>
      <c r="BC26" s="235">
        <f>SUM(AS26:AS28)</f>
        <v>11</v>
      </c>
      <c r="BD26" s="236" t="e">
        <f t="shared" ca="1" si="3"/>
        <v>#VALUE!</v>
      </c>
      <c r="BE26" s="237">
        <f t="shared" si="4"/>
        <v>7.0000000000007274</v>
      </c>
      <c r="BG26" s="202">
        <f t="shared" si="5"/>
        <v>1181.8399999999999</v>
      </c>
      <c r="BH26" s="203">
        <f t="shared" si="6"/>
        <v>47.6</v>
      </c>
      <c r="BI26" s="203">
        <f t="shared" si="7"/>
        <v>0</v>
      </c>
      <c r="BK26" s="204"/>
      <c r="BL26" s="204">
        <v>14</v>
      </c>
      <c r="BM26" s="204">
        <v>47.6</v>
      </c>
      <c r="BN26" s="204"/>
      <c r="BO26" s="204"/>
      <c r="BP26" s="205"/>
      <c r="BQ26" s="206"/>
      <c r="BR26" s="206"/>
      <c r="BS26" s="206"/>
      <c r="BT26" s="206"/>
      <c r="BU26" s="54"/>
      <c r="BV26" s="207"/>
      <c r="BW26" s="207">
        <v>2433.1999999999998</v>
      </c>
      <c r="BX26" s="207">
        <v>8272.8799999999992</v>
      </c>
      <c r="BY26" s="207"/>
      <c r="BZ26" s="207"/>
      <c r="CA26" s="207"/>
      <c r="CB26" s="207"/>
      <c r="CC26" s="207"/>
      <c r="CD26" s="207"/>
      <c r="CE26" s="207"/>
      <c r="CF26" s="54"/>
      <c r="CG26" s="193"/>
      <c r="CH26" s="193"/>
    </row>
    <row r="27" spans="2:86" s="15" customFormat="1" ht="15.75" customHeight="1" x14ac:dyDescent="0.35">
      <c r="B27" s="344"/>
      <c r="C27" s="195" t="s">
        <v>213</v>
      </c>
      <c r="D27" s="345"/>
      <c r="E27" s="197">
        <v>1149.5</v>
      </c>
      <c r="F27" s="238">
        <f t="shared" si="1"/>
        <v>104.5</v>
      </c>
      <c r="H27" s="212"/>
      <c r="I27" s="212">
        <v>6.5</v>
      </c>
      <c r="J27" s="208">
        <v>10</v>
      </c>
      <c r="K27" s="208">
        <v>9.6</v>
      </c>
      <c r="L27" s="208">
        <v>10.6</v>
      </c>
      <c r="M27" s="208">
        <v>10.6</v>
      </c>
      <c r="N27" s="208">
        <v>11</v>
      </c>
      <c r="O27" s="208">
        <v>11</v>
      </c>
      <c r="P27" s="208">
        <v>10</v>
      </c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208"/>
      <c r="AB27" s="208"/>
      <c r="AC27" s="208"/>
      <c r="AD27" s="208"/>
      <c r="AE27" s="208"/>
      <c r="AF27" s="208"/>
      <c r="AG27" s="208"/>
      <c r="AH27" s="208"/>
      <c r="AI27" s="208"/>
      <c r="AJ27" s="208"/>
      <c r="AK27" s="208"/>
      <c r="AL27" s="208">
        <v>10</v>
      </c>
      <c r="AM27" s="208">
        <v>4.9000000000000004</v>
      </c>
      <c r="AN27" s="208">
        <v>5.6</v>
      </c>
      <c r="AO27" s="208">
        <v>10</v>
      </c>
      <c r="AP27" s="208">
        <v>8.1999999999999993</v>
      </c>
      <c r="AQ27" s="208">
        <v>7</v>
      </c>
      <c r="AR27" s="208">
        <v>6.2</v>
      </c>
      <c r="AS27" s="208">
        <v>4.2</v>
      </c>
      <c r="AT27" s="346">
        <v>10</v>
      </c>
      <c r="AU27" s="208">
        <v>10.799999999999301</v>
      </c>
      <c r="AV27" s="208">
        <v>10.600000000000399</v>
      </c>
      <c r="AW27" s="208">
        <v>10.5</v>
      </c>
      <c r="AX27" s="208">
        <v>11</v>
      </c>
      <c r="AY27" s="208">
        <v>11</v>
      </c>
      <c r="AZ27" s="208"/>
      <c r="BB27" s="200">
        <f t="shared" si="2"/>
        <v>131.20000000000002</v>
      </c>
      <c r="BC27" s="239"/>
      <c r="BD27" s="236" t="e">
        <f t="shared" ca="1" si="3"/>
        <v>#VALUE!</v>
      </c>
      <c r="BE27" s="237">
        <f t="shared" si="4"/>
        <v>14.9999999999993</v>
      </c>
      <c r="BG27" s="202">
        <f t="shared" si="5"/>
        <v>438.90000000000003</v>
      </c>
      <c r="BH27" s="203">
        <f t="shared" si="6"/>
        <v>228.3</v>
      </c>
      <c r="BI27" s="203">
        <f t="shared" si="7"/>
        <v>22</v>
      </c>
      <c r="BK27" s="204"/>
      <c r="BL27" s="204">
        <v>151</v>
      </c>
      <c r="BM27" s="204">
        <v>228.3</v>
      </c>
      <c r="BN27" s="204"/>
      <c r="BO27" s="204"/>
      <c r="BP27" s="205"/>
      <c r="BQ27" s="206"/>
      <c r="BR27" s="206"/>
      <c r="BS27" s="206"/>
      <c r="BT27" s="206"/>
      <c r="BU27" s="54"/>
      <c r="BV27" s="207"/>
      <c r="BW27" s="207">
        <v>15779.5</v>
      </c>
      <c r="BX27" s="207">
        <v>23857.35</v>
      </c>
      <c r="BY27" s="207"/>
      <c r="BZ27" s="207"/>
      <c r="CA27" s="207"/>
      <c r="CB27" s="207"/>
      <c r="CC27" s="207"/>
      <c r="CD27" s="207"/>
      <c r="CE27" s="207"/>
      <c r="CF27" s="54"/>
      <c r="CG27" s="193"/>
      <c r="CH27" s="193"/>
    </row>
    <row r="28" spans="2:86" s="15" customFormat="1" ht="15.75" customHeight="1" x14ac:dyDescent="0.35">
      <c r="B28" s="344"/>
      <c r="C28" s="195" t="s">
        <v>214</v>
      </c>
      <c r="D28" s="345"/>
      <c r="E28" s="241">
        <v>0</v>
      </c>
      <c r="F28" s="242">
        <f t="shared" si="1"/>
        <v>0</v>
      </c>
      <c r="H28" s="212"/>
      <c r="I28" s="212"/>
      <c r="J28" s="208"/>
      <c r="K28" s="208"/>
      <c r="L28" s="208"/>
      <c r="M28" s="208"/>
      <c r="N28" s="208"/>
      <c r="O28" s="208"/>
      <c r="P28" s="208"/>
      <c r="Q28" s="208"/>
      <c r="R28" s="208"/>
      <c r="S28" s="208"/>
      <c r="T28" s="208"/>
      <c r="U28" s="208"/>
      <c r="V28" s="208"/>
      <c r="W28" s="208"/>
      <c r="X28" s="208"/>
      <c r="Y28" s="208"/>
      <c r="Z28" s="208"/>
      <c r="AA28" s="208"/>
      <c r="AB28" s="208"/>
      <c r="AC28" s="208"/>
      <c r="AD28" s="208"/>
      <c r="AE28" s="208"/>
      <c r="AF28" s="208"/>
      <c r="AG28" s="208"/>
      <c r="AH28" s="208"/>
      <c r="AI28" s="208"/>
      <c r="AJ28" s="208"/>
      <c r="AK28" s="208"/>
      <c r="AL28" s="208"/>
      <c r="AM28" s="208"/>
      <c r="AN28" s="208"/>
      <c r="AO28" s="208"/>
      <c r="AP28" s="208"/>
      <c r="AQ28" s="208"/>
      <c r="AR28" s="208"/>
      <c r="AS28" s="208"/>
      <c r="AT28" s="346"/>
      <c r="AU28" s="208"/>
      <c r="AV28" s="208"/>
      <c r="AW28" s="208"/>
      <c r="AX28" s="208"/>
      <c r="AY28" s="208"/>
      <c r="AZ28" s="208"/>
      <c r="BB28" s="200">
        <f t="shared" si="2"/>
        <v>0</v>
      </c>
      <c r="BC28" s="243"/>
      <c r="BD28" s="236" t="e">
        <f t="shared" ca="1" si="3"/>
        <v>#VALUE!</v>
      </c>
      <c r="BE28" s="237">
        <f t="shared" si="4"/>
        <v>0</v>
      </c>
      <c r="BG28" s="202">
        <f t="shared" si="5"/>
        <v>0</v>
      </c>
      <c r="BH28" s="203">
        <f t="shared" si="6"/>
        <v>14.6</v>
      </c>
      <c r="BI28" s="203">
        <f t="shared" si="7"/>
        <v>0</v>
      </c>
      <c r="BK28" s="204"/>
      <c r="BL28" s="204"/>
      <c r="BM28" s="204">
        <v>14.6</v>
      </c>
      <c r="BN28" s="204"/>
      <c r="BO28" s="204"/>
      <c r="BP28" s="205"/>
      <c r="BQ28" s="206"/>
      <c r="BR28" s="206"/>
      <c r="BS28" s="206"/>
      <c r="BT28" s="206"/>
      <c r="BU28" s="54"/>
      <c r="BV28" s="207"/>
      <c r="BW28" s="207"/>
      <c r="BX28" s="207">
        <v>0</v>
      </c>
      <c r="BY28" s="207"/>
      <c r="BZ28" s="207"/>
      <c r="CA28" s="207"/>
      <c r="CB28" s="207"/>
      <c r="CC28" s="207"/>
      <c r="CD28" s="207"/>
      <c r="CE28" s="207"/>
      <c r="CF28" s="54"/>
      <c r="CG28" s="193"/>
      <c r="CH28" s="193"/>
    </row>
    <row r="29" spans="2:86" s="15" customFormat="1" ht="15.75" customHeight="1" x14ac:dyDescent="0.35">
      <c r="B29" s="344" t="s">
        <v>184</v>
      </c>
      <c r="C29" s="232" t="s">
        <v>185</v>
      </c>
      <c r="D29" s="345" t="s">
        <v>186</v>
      </c>
      <c r="E29" s="233">
        <v>1240.25</v>
      </c>
      <c r="F29" s="234">
        <f t="shared" si="1"/>
        <v>112.75</v>
      </c>
      <c r="H29" s="212"/>
      <c r="I29" s="212"/>
      <c r="J29" s="208"/>
      <c r="K29" s="208">
        <v>2</v>
      </c>
      <c r="L29" s="208">
        <v>2</v>
      </c>
      <c r="M29" s="208">
        <v>5</v>
      </c>
      <c r="N29" s="208">
        <v>8</v>
      </c>
      <c r="O29" s="208">
        <v>8</v>
      </c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  <c r="AA29" s="208"/>
      <c r="AB29" s="208"/>
      <c r="AC29" s="208"/>
      <c r="AD29" s="208"/>
      <c r="AE29" s="208"/>
      <c r="AF29" s="208"/>
      <c r="AG29" s="208"/>
      <c r="AH29" s="208"/>
      <c r="AI29" s="208"/>
      <c r="AJ29" s="208"/>
      <c r="AK29" s="208"/>
      <c r="AL29" s="208"/>
      <c r="AM29" s="208"/>
      <c r="AN29" s="208"/>
      <c r="AO29" s="208">
        <v>5</v>
      </c>
      <c r="AP29" s="208"/>
      <c r="AQ29" s="208"/>
      <c r="AR29" s="208">
        <v>1</v>
      </c>
      <c r="AS29" s="208"/>
      <c r="AT29" s="346"/>
      <c r="AU29" s="208">
        <v>3</v>
      </c>
      <c r="AV29" s="208">
        <v>8</v>
      </c>
      <c r="AW29" s="208"/>
      <c r="AX29" s="208">
        <v>2</v>
      </c>
      <c r="AY29" s="208"/>
      <c r="AZ29" s="208"/>
      <c r="BB29" s="200">
        <f t="shared" si="2"/>
        <v>31</v>
      </c>
      <c r="BC29" s="235">
        <f>SUM(AS29:AS31)</f>
        <v>11</v>
      </c>
      <c r="BD29" s="236" t="e">
        <f t="shared" ca="1" si="3"/>
        <v>#VALUE!</v>
      </c>
      <c r="BE29" s="237">
        <f t="shared" si="4"/>
        <v>3</v>
      </c>
      <c r="BG29" s="202">
        <f t="shared" si="5"/>
        <v>0</v>
      </c>
      <c r="BH29" s="203">
        <f t="shared" si="6"/>
        <v>183</v>
      </c>
      <c r="BI29" s="203">
        <f t="shared" si="7"/>
        <v>2</v>
      </c>
      <c r="BK29" s="204"/>
      <c r="BL29" s="204">
        <v>62</v>
      </c>
      <c r="BM29" s="204">
        <v>183</v>
      </c>
      <c r="BN29" s="204"/>
      <c r="BO29" s="204"/>
      <c r="BP29" s="205"/>
      <c r="BQ29" s="206"/>
      <c r="BR29" s="206"/>
      <c r="BS29" s="206"/>
      <c r="BT29" s="206"/>
      <c r="BU29" s="54"/>
      <c r="BV29" s="207"/>
      <c r="BW29" s="207">
        <v>6990.5</v>
      </c>
      <c r="BX29" s="207">
        <v>20633.25</v>
      </c>
      <c r="BY29" s="207"/>
      <c r="BZ29" s="207"/>
      <c r="CA29" s="207"/>
      <c r="CB29" s="207"/>
      <c r="CC29" s="207"/>
      <c r="CD29" s="207"/>
      <c r="CE29" s="207"/>
      <c r="CF29" s="54"/>
      <c r="CG29" s="193"/>
      <c r="CH29" s="193"/>
    </row>
    <row r="30" spans="2:86" s="15" customFormat="1" ht="15.75" customHeight="1" x14ac:dyDescent="0.35">
      <c r="B30" s="344"/>
      <c r="C30" s="195" t="s">
        <v>215</v>
      </c>
      <c r="D30" s="345"/>
      <c r="E30" s="197">
        <v>744.15</v>
      </c>
      <c r="F30" s="238">
        <f t="shared" si="1"/>
        <v>67.649999999999991</v>
      </c>
      <c r="H30" s="212"/>
      <c r="I30" s="212"/>
      <c r="J30" s="208"/>
      <c r="K30" s="208">
        <v>8</v>
      </c>
      <c r="L30" s="208">
        <v>9</v>
      </c>
      <c r="M30" s="208">
        <v>6</v>
      </c>
      <c r="N30" s="208">
        <v>3</v>
      </c>
      <c r="O30" s="208">
        <v>3</v>
      </c>
      <c r="P30" s="208">
        <v>10</v>
      </c>
      <c r="Q30" s="208"/>
      <c r="R30" s="208"/>
      <c r="S30" s="208"/>
      <c r="T30" s="208"/>
      <c r="U30" s="208"/>
      <c r="V30" s="208"/>
      <c r="W30" s="208"/>
      <c r="X30" s="208"/>
      <c r="Y30" s="208"/>
      <c r="Z30" s="208"/>
      <c r="AA30" s="208"/>
      <c r="AB30" s="208"/>
      <c r="AC30" s="208"/>
      <c r="AD30" s="208"/>
      <c r="AE30" s="208"/>
      <c r="AF30" s="208"/>
      <c r="AG30" s="208"/>
      <c r="AH30" s="208"/>
      <c r="AI30" s="208"/>
      <c r="AJ30" s="208"/>
      <c r="AK30" s="208"/>
      <c r="AL30" s="208">
        <v>10</v>
      </c>
      <c r="AM30" s="208">
        <v>11</v>
      </c>
      <c r="AN30" s="208">
        <v>11</v>
      </c>
      <c r="AO30" s="208">
        <v>6</v>
      </c>
      <c r="AP30" s="208">
        <v>10</v>
      </c>
      <c r="AQ30" s="208">
        <v>10</v>
      </c>
      <c r="AR30" s="208">
        <v>9</v>
      </c>
      <c r="AS30" s="208"/>
      <c r="AT30" s="346">
        <v>11</v>
      </c>
      <c r="AU30" s="208">
        <v>8</v>
      </c>
      <c r="AV30" s="208">
        <v>3</v>
      </c>
      <c r="AW30" s="208">
        <v>11</v>
      </c>
      <c r="AX30" s="208">
        <v>9</v>
      </c>
      <c r="AY30" s="208">
        <v>11</v>
      </c>
      <c r="AZ30" s="208"/>
      <c r="BB30" s="200">
        <f t="shared" si="2"/>
        <v>106</v>
      </c>
      <c r="BC30" s="239"/>
      <c r="BD30" s="236" t="e">
        <f t="shared" ca="1" si="3"/>
        <v>#VALUE!</v>
      </c>
      <c r="BE30" s="237">
        <f t="shared" si="4"/>
        <v>8</v>
      </c>
      <c r="BG30" s="202">
        <f t="shared" si="5"/>
        <v>0</v>
      </c>
      <c r="BH30" s="203">
        <f t="shared" si="6"/>
        <v>95.5</v>
      </c>
      <c r="BI30" s="203">
        <f t="shared" si="7"/>
        <v>20</v>
      </c>
      <c r="BK30" s="204"/>
      <c r="BL30" s="204">
        <v>102</v>
      </c>
      <c r="BM30" s="204">
        <v>95.5</v>
      </c>
      <c r="BN30" s="204"/>
      <c r="BO30" s="204"/>
      <c r="BP30" s="205"/>
      <c r="BQ30" s="206"/>
      <c r="BR30" s="206"/>
      <c r="BS30" s="206"/>
      <c r="BT30" s="206"/>
      <c r="BU30" s="54"/>
      <c r="BV30" s="207"/>
      <c r="BW30" s="207">
        <v>6900.3</v>
      </c>
      <c r="BX30" s="207">
        <v>6460.5749999999998</v>
      </c>
      <c r="BY30" s="207"/>
      <c r="BZ30" s="207"/>
      <c r="CA30" s="207"/>
      <c r="CB30" s="207"/>
      <c r="CC30" s="207"/>
      <c r="CD30" s="207"/>
      <c r="CE30" s="207"/>
      <c r="CF30" s="54"/>
      <c r="CG30" s="193"/>
      <c r="CH30" s="193"/>
    </row>
    <row r="31" spans="2:86" s="15" customFormat="1" ht="12.75" customHeight="1" x14ac:dyDescent="0.35">
      <c r="B31" s="344"/>
      <c r="C31" s="195" t="s">
        <v>216</v>
      </c>
      <c r="D31" s="345"/>
      <c r="E31" s="241">
        <v>0</v>
      </c>
      <c r="F31" s="242">
        <f t="shared" si="1"/>
        <v>0</v>
      </c>
      <c r="H31" s="212"/>
      <c r="I31" s="212">
        <v>10</v>
      </c>
      <c r="J31" s="208">
        <v>10</v>
      </c>
      <c r="K31" s="208"/>
      <c r="L31" s="208"/>
      <c r="M31" s="208"/>
      <c r="N31" s="208"/>
      <c r="O31" s="208"/>
      <c r="P31" s="208"/>
      <c r="Q31" s="208"/>
      <c r="R31" s="208"/>
      <c r="S31" s="208"/>
      <c r="T31" s="208"/>
      <c r="U31" s="208"/>
      <c r="V31" s="208"/>
      <c r="W31" s="208"/>
      <c r="X31" s="208"/>
      <c r="Y31" s="208"/>
      <c r="Z31" s="208"/>
      <c r="AA31" s="208"/>
      <c r="AB31" s="208"/>
      <c r="AC31" s="208"/>
      <c r="AD31" s="208"/>
      <c r="AE31" s="208"/>
      <c r="AF31" s="208"/>
      <c r="AG31" s="208"/>
      <c r="AH31" s="208"/>
      <c r="AI31" s="208"/>
      <c r="AJ31" s="208"/>
      <c r="AK31" s="208"/>
      <c r="AL31" s="208"/>
      <c r="AM31" s="208"/>
      <c r="AN31" s="208"/>
      <c r="AO31" s="208"/>
      <c r="AP31" s="208"/>
      <c r="AQ31" s="208"/>
      <c r="AR31" s="208"/>
      <c r="AS31" s="208">
        <v>11</v>
      </c>
      <c r="AT31" s="346"/>
      <c r="AU31" s="208"/>
      <c r="AV31" s="208"/>
      <c r="AW31" s="208"/>
      <c r="AX31" s="208"/>
      <c r="AY31" s="208"/>
      <c r="AZ31" s="208"/>
      <c r="BB31" s="200">
        <f t="shared" si="2"/>
        <v>20</v>
      </c>
      <c r="BC31" s="243"/>
      <c r="BD31" s="236" t="e">
        <f t="shared" ca="1" si="3"/>
        <v>#VALUE!</v>
      </c>
      <c r="BE31" s="237">
        <f t="shared" si="4"/>
        <v>11</v>
      </c>
      <c r="BG31" s="202">
        <f t="shared" si="5"/>
        <v>0</v>
      </c>
      <c r="BH31" s="203">
        <f t="shared" si="6"/>
        <v>12</v>
      </c>
      <c r="BI31" s="203">
        <f t="shared" si="7"/>
        <v>0</v>
      </c>
      <c r="BK31" s="204"/>
      <c r="BL31" s="204"/>
      <c r="BM31" s="204">
        <v>12</v>
      </c>
      <c r="BN31" s="204"/>
      <c r="BO31" s="204"/>
      <c r="BP31" s="205"/>
      <c r="BQ31" s="206"/>
      <c r="BR31" s="206"/>
      <c r="BS31" s="206"/>
      <c r="BT31" s="206"/>
      <c r="BU31" s="54"/>
      <c r="BV31" s="207"/>
      <c r="BW31" s="207"/>
      <c r="BX31" s="207">
        <v>0</v>
      </c>
      <c r="BY31" s="207"/>
      <c r="BZ31" s="207"/>
      <c r="CA31" s="207"/>
      <c r="CB31" s="207"/>
      <c r="CC31" s="207"/>
      <c r="CD31" s="207"/>
      <c r="CE31" s="207"/>
      <c r="CF31" s="54"/>
      <c r="CG31" s="193"/>
      <c r="CH31" s="193"/>
    </row>
    <row r="32" spans="2:86" s="15" customFormat="1" ht="40.5" customHeight="1" x14ac:dyDescent="0.35">
      <c r="B32" s="344" t="s">
        <v>187</v>
      </c>
      <c r="C32" s="232" t="s">
        <v>188</v>
      </c>
      <c r="D32" s="345" t="s">
        <v>189</v>
      </c>
      <c r="E32" s="233">
        <v>320.64999999999998</v>
      </c>
      <c r="F32" s="234">
        <f t="shared" si="1"/>
        <v>29.15</v>
      </c>
      <c r="H32" s="212"/>
      <c r="I32" s="212">
        <v>11</v>
      </c>
      <c r="J32" s="212">
        <v>11</v>
      </c>
      <c r="K32" s="212">
        <v>11</v>
      </c>
      <c r="L32" s="212">
        <v>11</v>
      </c>
      <c r="M32" s="212">
        <v>11</v>
      </c>
      <c r="N32" s="212">
        <v>11</v>
      </c>
      <c r="O32" s="212">
        <v>11</v>
      </c>
      <c r="P32" s="208">
        <v>11</v>
      </c>
      <c r="Q32" s="212"/>
      <c r="R32" s="212"/>
      <c r="S32" s="212"/>
      <c r="T32" s="212"/>
      <c r="U32" s="212"/>
      <c r="V32" s="212"/>
      <c r="W32" s="212"/>
      <c r="X32" s="208"/>
      <c r="Y32" s="208"/>
      <c r="Z32" s="208"/>
      <c r="AA32" s="208"/>
      <c r="AB32" s="208"/>
      <c r="AC32" s="208"/>
      <c r="AD32" s="208"/>
      <c r="AE32" s="212"/>
      <c r="AF32" s="212"/>
      <c r="AG32" s="212"/>
      <c r="AH32" s="212"/>
      <c r="AI32" s="212"/>
      <c r="AJ32" s="212"/>
      <c r="AK32" s="212"/>
      <c r="AL32" s="212">
        <v>11</v>
      </c>
      <c r="AM32" s="212">
        <v>11</v>
      </c>
      <c r="AN32" s="212">
        <v>11</v>
      </c>
      <c r="AO32" s="212">
        <v>11</v>
      </c>
      <c r="AP32" s="244">
        <v>11</v>
      </c>
      <c r="AQ32" s="244">
        <v>11</v>
      </c>
      <c r="AR32" s="244">
        <v>11</v>
      </c>
      <c r="AS32" s="244">
        <v>11</v>
      </c>
      <c r="AT32" s="347">
        <v>11</v>
      </c>
      <c r="AU32" s="244">
        <v>11</v>
      </c>
      <c r="AV32" s="244">
        <v>11</v>
      </c>
      <c r="AW32" s="244">
        <v>11</v>
      </c>
      <c r="AX32" s="244">
        <v>11</v>
      </c>
      <c r="AY32" s="208">
        <v>11</v>
      </c>
      <c r="AZ32" s="212"/>
      <c r="BB32" s="200">
        <f t="shared" si="2"/>
        <v>165</v>
      </c>
      <c r="BC32" s="235">
        <f>SUM(AS32:AS33)</f>
        <v>11</v>
      </c>
      <c r="BD32" s="236" t="e">
        <f t="shared" ca="1" si="3"/>
        <v>#VALUE!</v>
      </c>
      <c r="BE32" s="237">
        <f t="shared" si="4"/>
        <v>22</v>
      </c>
      <c r="BG32" s="202">
        <f t="shared" si="5"/>
        <v>320.64999999999998</v>
      </c>
      <c r="BH32" s="203">
        <f t="shared" si="6"/>
        <v>297</v>
      </c>
      <c r="BI32" s="203">
        <f t="shared" si="7"/>
        <v>22</v>
      </c>
      <c r="BK32" s="204"/>
      <c r="BL32" s="204">
        <v>0</v>
      </c>
      <c r="BM32" s="204">
        <v>297</v>
      </c>
      <c r="BN32" s="204"/>
      <c r="BO32" s="204"/>
      <c r="BP32" s="205"/>
      <c r="BQ32" s="206"/>
      <c r="BR32" s="206"/>
      <c r="BS32" s="206"/>
      <c r="BT32" s="206"/>
      <c r="BU32" s="54"/>
      <c r="BV32" s="207"/>
      <c r="BW32" s="207">
        <v>0</v>
      </c>
      <c r="BX32" s="207">
        <v>8657.5499999999993</v>
      </c>
      <c r="BY32" s="207"/>
      <c r="BZ32" s="207"/>
      <c r="CA32" s="207"/>
      <c r="CB32" s="207"/>
      <c r="CC32" s="207"/>
      <c r="CD32" s="207"/>
      <c r="CE32" s="207"/>
      <c r="CF32" s="54"/>
      <c r="CG32" s="193"/>
      <c r="CH32" s="245"/>
    </row>
    <row r="33" spans="2:86" s="15" customFormat="1" ht="15.75" customHeight="1" x14ac:dyDescent="0.35">
      <c r="B33" s="344"/>
      <c r="C33" s="240" t="s">
        <v>217</v>
      </c>
      <c r="D33" s="345"/>
      <c r="E33" s="241">
        <v>193.6</v>
      </c>
      <c r="F33" s="242">
        <f t="shared" si="1"/>
        <v>17.599999999999998</v>
      </c>
      <c r="H33" s="212"/>
      <c r="I33" s="212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/>
      <c r="U33" s="208"/>
      <c r="V33" s="208"/>
      <c r="W33" s="208"/>
      <c r="X33" s="208"/>
      <c r="Y33" s="208"/>
      <c r="Z33" s="208"/>
      <c r="AA33" s="208"/>
      <c r="AB33" s="208"/>
      <c r="AC33" s="208"/>
      <c r="AD33" s="208"/>
      <c r="AE33" s="208"/>
      <c r="AF33" s="208"/>
      <c r="AG33" s="208"/>
      <c r="AH33" s="208"/>
      <c r="AI33" s="208"/>
      <c r="AJ33" s="208"/>
      <c r="AK33" s="208"/>
      <c r="AL33" s="208"/>
      <c r="AM33" s="208"/>
      <c r="AN33" s="208"/>
      <c r="AO33" s="208"/>
      <c r="AP33" s="208"/>
      <c r="AQ33" s="208"/>
      <c r="AR33" s="208"/>
      <c r="AS33" s="208"/>
      <c r="AT33" s="347"/>
      <c r="AU33" s="208"/>
      <c r="AV33" s="208"/>
      <c r="AW33" s="208"/>
      <c r="AX33" s="208"/>
      <c r="AY33" s="208"/>
      <c r="AZ33" s="208"/>
      <c r="BB33" s="200">
        <f t="shared" si="2"/>
        <v>0</v>
      </c>
      <c r="BC33" s="243"/>
      <c r="BD33" s="236" t="e">
        <f t="shared" ca="1" si="3"/>
        <v>#VALUE!</v>
      </c>
      <c r="BE33" s="237">
        <f t="shared" si="4"/>
        <v>0</v>
      </c>
      <c r="BG33" s="202">
        <f t="shared" si="5"/>
        <v>0</v>
      </c>
      <c r="BH33" s="203">
        <f t="shared" si="6"/>
        <v>0</v>
      </c>
      <c r="BI33" s="203">
        <f t="shared" si="7"/>
        <v>0</v>
      </c>
      <c r="BK33" s="204"/>
      <c r="BL33" s="204">
        <v>0</v>
      </c>
      <c r="BM33" s="204">
        <v>0</v>
      </c>
      <c r="BN33" s="204"/>
      <c r="BO33" s="204"/>
      <c r="BP33" s="205"/>
      <c r="BQ33" s="206"/>
      <c r="BR33" s="206"/>
      <c r="BS33" s="206"/>
      <c r="BT33" s="206"/>
      <c r="BU33" s="54"/>
      <c r="BV33" s="207"/>
      <c r="BW33" s="207">
        <v>0</v>
      </c>
      <c r="BX33" s="207">
        <v>0</v>
      </c>
      <c r="BY33" s="207"/>
      <c r="BZ33" s="207"/>
      <c r="CA33" s="207"/>
      <c r="CB33" s="207"/>
      <c r="CC33" s="207"/>
      <c r="CD33" s="207"/>
      <c r="CE33" s="207"/>
      <c r="CF33" s="54"/>
      <c r="CG33" s="193"/>
      <c r="CH33" s="193"/>
    </row>
    <row r="34" spans="2:86" s="15" customFormat="1" ht="36.75" customHeight="1" x14ac:dyDescent="0.35">
      <c r="B34" s="344" t="s">
        <v>190</v>
      </c>
      <c r="C34" s="232" t="s">
        <v>191</v>
      </c>
      <c r="D34" s="345" t="s">
        <v>192</v>
      </c>
      <c r="E34" s="233">
        <v>320.64999999999998</v>
      </c>
      <c r="F34" s="234">
        <f t="shared" si="1"/>
        <v>29.15</v>
      </c>
      <c r="H34" s="212"/>
      <c r="I34" s="212">
        <v>11</v>
      </c>
      <c r="J34" s="212">
        <v>11</v>
      </c>
      <c r="K34" s="212">
        <v>11</v>
      </c>
      <c r="L34" s="212">
        <v>11</v>
      </c>
      <c r="M34" s="212">
        <v>11</v>
      </c>
      <c r="N34" s="212">
        <v>11</v>
      </c>
      <c r="O34" s="212">
        <v>11</v>
      </c>
      <c r="P34" s="208">
        <v>11</v>
      </c>
      <c r="Q34" s="212"/>
      <c r="R34" s="212"/>
      <c r="S34" s="212"/>
      <c r="T34" s="212"/>
      <c r="U34" s="212"/>
      <c r="V34" s="212"/>
      <c r="W34" s="212"/>
      <c r="X34" s="208"/>
      <c r="Y34" s="208"/>
      <c r="Z34" s="208"/>
      <c r="AA34" s="208"/>
      <c r="AB34" s="208"/>
      <c r="AC34" s="208"/>
      <c r="AD34" s="208"/>
      <c r="AE34" s="212"/>
      <c r="AF34" s="212"/>
      <c r="AG34" s="212"/>
      <c r="AH34" s="212"/>
      <c r="AI34" s="212"/>
      <c r="AJ34" s="212"/>
      <c r="AK34" s="212"/>
      <c r="AL34" s="212">
        <v>11</v>
      </c>
      <c r="AM34" s="212">
        <v>11</v>
      </c>
      <c r="AN34" s="212">
        <v>11</v>
      </c>
      <c r="AO34" s="212">
        <v>11</v>
      </c>
      <c r="AP34" s="244">
        <v>11</v>
      </c>
      <c r="AQ34" s="244">
        <v>11</v>
      </c>
      <c r="AR34" s="244">
        <v>11</v>
      </c>
      <c r="AS34" s="244">
        <v>11</v>
      </c>
      <c r="AT34" s="347">
        <v>11</v>
      </c>
      <c r="AU34" s="244">
        <v>11</v>
      </c>
      <c r="AV34" s="244">
        <v>11</v>
      </c>
      <c r="AW34" s="244">
        <v>11</v>
      </c>
      <c r="AX34" s="244">
        <v>11</v>
      </c>
      <c r="AY34" s="208">
        <v>11</v>
      </c>
      <c r="AZ34" s="212"/>
      <c r="BB34" s="200">
        <f t="shared" si="2"/>
        <v>165</v>
      </c>
      <c r="BC34" s="235">
        <f>SUM(AS34:AS35)</f>
        <v>11</v>
      </c>
      <c r="BD34" s="236" t="e">
        <f t="shared" ca="1" si="3"/>
        <v>#VALUE!</v>
      </c>
      <c r="BE34" s="237">
        <f t="shared" si="4"/>
        <v>22</v>
      </c>
      <c r="BG34" s="202">
        <f t="shared" si="5"/>
        <v>320.64999999999998</v>
      </c>
      <c r="BH34" s="203">
        <f t="shared" si="6"/>
        <v>297</v>
      </c>
      <c r="BI34" s="203">
        <f t="shared" si="7"/>
        <v>22</v>
      </c>
      <c r="BK34" s="204"/>
      <c r="BL34" s="204">
        <v>0</v>
      </c>
      <c r="BM34" s="204">
        <v>297</v>
      </c>
      <c r="BN34" s="204"/>
      <c r="BO34" s="204"/>
      <c r="BP34" s="205"/>
      <c r="BQ34" s="206"/>
      <c r="BR34" s="206"/>
      <c r="BS34" s="206"/>
      <c r="BT34" s="206"/>
      <c r="BU34" s="54"/>
      <c r="BV34" s="207"/>
      <c r="BW34" s="207">
        <v>0</v>
      </c>
      <c r="BX34" s="207">
        <v>8657.5499999999993</v>
      </c>
      <c r="BY34" s="207"/>
      <c r="BZ34" s="207"/>
      <c r="CA34" s="207"/>
      <c r="CB34" s="207"/>
      <c r="CC34" s="207"/>
      <c r="CD34" s="207"/>
      <c r="CE34" s="207"/>
      <c r="CF34" s="54"/>
      <c r="CG34" s="193"/>
      <c r="CH34" s="245"/>
    </row>
    <row r="35" spans="2:86" s="15" customFormat="1" ht="15.75" customHeight="1" x14ac:dyDescent="0.35">
      <c r="B35" s="344"/>
      <c r="C35" s="240" t="s">
        <v>218</v>
      </c>
      <c r="D35" s="345"/>
      <c r="E35" s="241">
        <v>193.6</v>
      </c>
      <c r="F35" s="242">
        <f t="shared" si="1"/>
        <v>17.599999999999998</v>
      </c>
      <c r="H35" s="212"/>
      <c r="I35" s="208"/>
      <c r="J35" s="208"/>
      <c r="K35" s="208"/>
      <c r="L35" s="208"/>
      <c r="M35" s="208"/>
      <c r="N35" s="208"/>
      <c r="O35" s="208"/>
      <c r="P35" s="208"/>
      <c r="Q35" s="208"/>
      <c r="R35" s="208"/>
      <c r="S35" s="208"/>
      <c r="T35" s="208"/>
      <c r="U35" s="208"/>
      <c r="V35" s="208"/>
      <c r="W35" s="208"/>
      <c r="X35" s="208"/>
      <c r="Y35" s="208"/>
      <c r="Z35" s="208"/>
      <c r="AA35" s="208"/>
      <c r="AB35" s="208"/>
      <c r="AC35" s="208"/>
      <c r="AD35" s="208"/>
      <c r="AE35" s="208"/>
      <c r="AF35" s="208"/>
      <c r="AG35" s="208"/>
      <c r="AH35" s="208"/>
      <c r="AI35" s="208"/>
      <c r="AJ35" s="208"/>
      <c r="AK35" s="208"/>
      <c r="AL35" s="208"/>
      <c r="AM35" s="208"/>
      <c r="AN35" s="208"/>
      <c r="AO35" s="208"/>
      <c r="AP35" s="208"/>
      <c r="AQ35" s="208"/>
      <c r="AR35" s="208"/>
      <c r="AS35" s="208"/>
      <c r="AT35" s="347"/>
      <c r="AU35" s="208"/>
      <c r="AV35" s="208"/>
      <c r="AW35" s="208"/>
      <c r="AX35" s="208"/>
      <c r="AY35" s="208"/>
      <c r="AZ35" s="208"/>
      <c r="BB35" s="200">
        <f t="shared" si="2"/>
        <v>0</v>
      </c>
      <c r="BC35" s="243"/>
      <c r="BD35" s="236" t="e">
        <f t="shared" ca="1" si="3"/>
        <v>#VALUE!</v>
      </c>
      <c r="BE35" s="237">
        <f t="shared" si="4"/>
        <v>0</v>
      </c>
      <c r="BG35" s="202">
        <f t="shared" si="5"/>
        <v>0</v>
      </c>
      <c r="BH35" s="203">
        <f t="shared" si="6"/>
        <v>0</v>
      </c>
      <c r="BI35" s="203">
        <f t="shared" si="7"/>
        <v>0</v>
      </c>
      <c r="BK35" s="204"/>
      <c r="BL35" s="204">
        <v>0</v>
      </c>
      <c r="BM35" s="204">
        <v>0</v>
      </c>
      <c r="BN35" s="204"/>
      <c r="BO35" s="204"/>
      <c r="BP35" s="205"/>
      <c r="BQ35" s="206"/>
      <c r="BR35" s="206"/>
      <c r="BS35" s="206"/>
      <c r="BT35" s="206"/>
      <c r="BU35" s="54"/>
      <c r="BV35" s="207"/>
      <c r="BW35" s="207">
        <v>0</v>
      </c>
      <c r="BX35" s="207">
        <v>0</v>
      </c>
      <c r="BY35" s="207"/>
      <c r="BZ35" s="207"/>
      <c r="CA35" s="207"/>
      <c r="CB35" s="207"/>
      <c r="CC35" s="207"/>
      <c r="CD35" s="207"/>
      <c r="CE35" s="207"/>
      <c r="CF35" s="54"/>
      <c r="CG35" s="193"/>
      <c r="CH35" s="210"/>
    </row>
    <row r="36" spans="2:86" s="15" customFormat="1" ht="51.75" customHeight="1" x14ac:dyDescent="0.35">
      <c r="B36" s="344" t="s">
        <v>190</v>
      </c>
      <c r="C36" s="232" t="s">
        <v>219</v>
      </c>
      <c r="D36" s="345" t="s">
        <v>220</v>
      </c>
      <c r="E36" s="233">
        <v>320.64999999999998</v>
      </c>
      <c r="F36" s="234">
        <f t="shared" si="1"/>
        <v>29.15</v>
      </c>
      <c r="H36" s="212"/>
      <c r="I36" s="212">
        <v>11</v>
      </c>
      <c r="J36" s="208">
        <v>11</v>
      </c>
      <c r="K36" s="208">
        <v>11</v>
      </c>
      <c r="L36" s="208">
        <v>11</v>
      </c>
      <c r="M36" s="208">
        <v>11</v>
      </c>
      <c r="N36" s="208">
        <v>11</v>
      </c>
      <c r="O36" s="208">
        <v>11</v>
      </c>
      <c r="P36" s="208">
        <v>11</v>
      </c>
      <c r="Q36" s="208"/>
      <c r="R36" s="208"/>
      <c r="S36" s="208"/>
      <c r="T36" s="208"/>
      <c r="U36" s="208"/>
      <c r="V36" s="208"/>
      <c r="W36" s="208"/>
      <c r="X36" s="208"/>
      <c r="Y36" s="208"/>
      <c r="Z36" s="208"/>
      <c r="AA36" s="208"/>
      <c r="AB36" s="208"/>
      <c r="AC36" s="208"/>
      <c r="AD36" s="208"/>
      <c r="AE36" s="212"/>
      <c r="AF36" s="212"/>
      <c r="AG36" s="212"/>
      <c r="AH36" s="212"/>
      <c r="AI36" s="212"/>
      <c r="AJ36" s="212"/>
      <c r="AK36" s="212"/>
      <c r="AL36" s="212">
        <v>11</v>
      </c>
      <c r="AM36" s="212">
        <v>11</v>
      </c>
      <c r="AN36" s="212">
        <v>11</v>
      </c>
      <c r="AO36" s="212">
        <v>11</v>
      </c>
      <c r="AP36" s="244">
        <v>11</v>
      </c>
      <c r="AQ36" s="244">
        <v>11</v>
      </c>
      <c r="AR36" s="244">
        <v>11</v>
      </c>
      <c r="AS36" s="244">
        <v>11</v>
      </c>
      <c r="AT36" s="347">
        <v>11</v>
      </c>
      <c r="AU36" s="244">
        <v>11</v>
      </c>
      <c r="AV36" s="244">
        <v>11</v>
      </c>
      <c r="AW36" s="244">
        <v>11</v>
      </c>
      <c r="AX36" s="244">
        <v>11</v>
      </c>
      <c r="AY36" s="208">
        <v>11</v>
      </c>
      <c r="AZ36" s="212"/>
      <c r="BB36" s="200">
        <f t="shared" si="2"/>
        <v>165</v>
      </c>
      <c r="BC36" s="235">
        <f>SUM(AS36:AS37)</f>
        <v>11</v>
      </c>
      <c r="BD36" s="236" t="e">
        <f t="shared" ca="1" si="3"/>
        <v>#VALUE!</v>
      </c>
      <c r="BE36" s="237">
        <f t="shared" si="4"/>
        <v>22</v>
      </c>
      <c r="BG36" s="202">
        <f t="shared" si="5"/>
        <v>320.64999999999998</v>
      </c>
      <c r="BH36" s="203">
        <f t="shared" si="6"/>
        <v>132</v>
      </c>
      <c r="BI36" s="203">
        <f t="shared" si="7"/>
        <v>22</v>
      </c>
      <c r="BK36" s="204"/>
      <c r="BL36" s="204"/>
      <c r="BM36" s="204">
        <v>132</v>
      </c>
      <c r="BN36" s="204"/>
      <c r="BO36" s="204"/>
      <c r="BP36" s="205"/>
      <c r="BQ36" s="206"/>
      <c r="BR36" s="206"/>
      <c r="BS36" s="206"/>
      <c r="BT36" s="206"/>
      <c r="BU36" s="54"/>
      <c r="BV36" s="207"/>
      <c r="BW36" s="207"/>
      <c r="BX36" s="207">
        <v>3847.8</v>
      </c>
      <c r="BY36" s="207"/>
      <c r="BZ36" s="207"/>
      <c r="CA36" s="207"/>
      <c r="CB36" s="207"/>
      <c r="CC36" s="207"/>
      <c r="CD36" s="207"/>
      <c r="CE36" s="207"/>
      <c r="CF36" s="54"/>
      <c r="CG36" s="193"/>
      <c r="CH36" s="245"/>
    </row>
    <row r="37" spans="2:86" s="15" customFormat="1" ht="15.75" customHeight="1" x14ac:dyDescent="0.35">
      <c r="B37" s="344"/>
      <c r="C37" s="240" t="s">
        <v>221</v>
      </c>
      <c r="D37" s="345"/>
      <c r="E37" s="241">
        <v>193.6</v>
      </c>
      <c r="F37" s="242">
        <f t="shared" si="1"/>
        <v>17.599999999999998</v>
      </c>
      <c r="H37" s="212"/>
      <c r="I37" s="208"/>
      <c r="J37" s="208"/>
      <c r="K37" s="208"/>
      <c r="L37" s="208"/>
      <c r="M37" s="208"/>
      <c r="N37" s="208"/>
      <c r="O37" s="208"/>
      <c r="P37" s="208"/>
      <c r="Q37" s="208"/>
      <c r="R37" s="208"/>
      <c r="S37" s="208"/>
      <c r="T37" s="208"/>
      <c r="U37" s="208"/>
      <c r="V37" s="208"/>
      <c r="W37" s="208"/>
      <c r="X37" s="208"/>
      <c r="Y37" s="208"/>
      <c r="Z37" s="208"/>
      <c r="AA37" s="208"/>
      <c r="AB37" s="208"/>
      <c r="AC37" s="208"/>
      <c r="AD37" s="208"/>
      <c r="AE37" s="208"/>
      <c r="AF37" s="208"/>
      <c r="AG37" s="208"/>
      <c r="AH37" s="208"/>
      <c r="AI37" s="208"/>
      <c r="AJ37" s="208"/>
      <c r="AK37" s="208"/>
      <c r="AL37" s="208"/>
      <c r="AM37" s="208"/>
      <c r="AN37" s="208"/>
      <c r="AO37" s="208"/>
      <c r="AP37" s="208"/>
      <c r="AQ37" s="208"/>
      <c r="AR37" s="208"/>
      <c r="AS37" s="208"/>
      <c r="AT37" s="347"/>
      <c r="AU37" s="208"/>
      <c r="AV37" s="208"/>
      <c r="AW37" s="208"/>
      <c r="AX37" s="208"/>
      <c r="AY37" s="208"/>
      <c r="AZ37" s="208"/>
      <c r="BB37" s="200">
        <f t="shared" si="2"/>
        <v>0</v>
      </c>
      <c r="BC37" s="243"/>
      <c r="BD37" s="236" t="e">
        <f t="shared" ca="1" si="3"/>
        <v>#VALUE!</v>
      </c>
      <c r="BE37" s="237">
        <f t="shared" si="4"/>
        <v>0</v>
      </c>
      <c r="BG37" s="202">
        <f t="shared" si="5"/>
        <v>0</v>
      </c>
      <c r="BH37" s="203">
        <f t="shared" si="6"/>
        <v>0</v>
      </c>
      <c r="BI37" s="203">
        <f t="shared" si="7"/>
        <v>0</v>
      </c>
      <c r="BK37" s="204"/>
      <c r="BL37" s="204"/>
      <c r="BM37" s="204">
        <v>0</v>
      </c>
      <c r="BN37" s="204"/>
      <c r="BO37" s="204"/>
      <c r="BP37" s="205"/>
      <c r="BQ37" s="206"/>
      <c r="BR37" s="206"/>
      <c r="BS37" s="206"/>
      <c r="BT37" s="206"/>
      <c r="BU37" s="54"/>
      <c r="BV37" s="207"/>
      <c r="BW37" s="207"/>
      <c r="BX37" s="207">
        <v>0</v>
      </c>
      <c r="BY37" s="207"/>
      <c r="BZ37" s="207"/>
      <c r="CA37" s="207"/>
      <c r="CB37" s="207"/>
      <c r="CC37" s="207"/>
      <c r="CD37" s="207"/>
      <c r="CE37" s="207"/>
      <c r="CF37" s="54"/>
      <c r="CG37" s="193"/>
      <c r="CH37" s="210"/>
    </row>
    <row r="38" spans="2:86" s="15" customFormat="1" ht="15.75" customHeight="1" x14ac:dyDescent="0.35">
      <c r="B38" s="194"/>
      <c r="C38" s="195"/>
      <c r="D38" s="246"/>
      <c r="E38" s="247"/>
      <c r="F38" s="247"/>
      <c r="H38" s="248"/>
      <c r="I38" s="249"/>
      <c r="J38" s="249"/>
      <c r="K38" s="249"/>
      <c r="L38" s="249"/>
      <c r="M38" s="249"/>
      <c r="N38" s="249"/>
      <c r="O38" s="249"/>
      <c r="P38" s="249"/>
      <c r="Q38" s="249"/>
      <c r="R38" s="249"/>
      <c r="S38" s="249"/>
      <c r="T38" s="249"/>
      <c r="U38" s="249"/>
      <c r="V38" s="249"/>
      <c r="W38" s="249"/>
      <c r="X38" s="249"/>
      <c r="Y38" s="249"/>
      <c r="Z38" s="249"/>
      <c r="AA38" s="249"/>
      <c r="AB38" s="249"/>
      <c r="AC38" s="249"/>
      <c r="AD38" s="249"/>
      <c r="AE38" s="249"/>
      <c r="AF38" s="249"/>
      <c r="AG38" s="249"/>
      <c r="AH38" s="249"/>
      <c r="AI38" s="249"/>
      <c r="AJ38" s="249"/>
      <c r="AK38" s="249"/>
      <c r="AL38" s="249"/>
      <c r="AM38" s="249"/>
      <c r="AN38" s="249"/>
      <c r="AO38" s="249"/>
      <c r="AP38" s="249"/>
      <c r="AQ38" s="249"/>
      <c r="AR38" s="249"/>
      <c r="AS38" s="249"/>
      <c r="AT38" s="249"/>
      <c r="AU38" s="249"/>
      <c r="AV38" s="249"/>
      <c r="AW38" s="249"/>
      <c r="AX38" s="249"/>
      <c r="AY38" s="249"/>
      <c r="AZ38" s="249"/>
      <c r="BB38" s="200"/>
      <c r="BC38" s="201"/>
      <c r="BD38" s="201"/>
      <c r="BE38" s="201"/>
      <c r="BG38" s="202"/>
      <c r="BH38" s="203"/>
      <c r="BI38" s="203"/>
      <c r="BK38" s="204"/>
      <c r="BL38" s="204"/>
      <c r="BM38" s="204"/>
      <c r="BN38" s="204"/>
      <c r="BO38" s="204"/>
      <c r="BP38" s="205"/>
      <c r="BQ38" s="206"/>
      <c r="BR38" s="206"/>
      <c r="BS38" s="206"/>
      <c r="BT38" s="206"/>
      <c r="BU38" s="54"/>
      <c r="BV38" s="207"/>
      <c r="BW38" s="207"/>
      <c r="BX38" s="207"/>
      <c r="BY38" s="207"/>
      <c r="BZ38" s="207"/>
      <c r="CA38" s="207"/>
      <c r="CB38" s="207"/>
      <c r="CC38" s="207"/>
      <c r="CD38" s="207"/>
      <c r="CE38" s="207"/>
      <c r="CF38" s="54"/>
      <c r="CG38" s="193"/>
      <c r="CH38" s="210"/>
    </row>
    <row r="39" spans="2:86" s="15" customFormat="1" ht="15.75" customHeight="1" x14ac:dyDescent="0.35">
      <c r="B39" s="194"/>
      <c r="C39" s="195"/>
      <c r="D39" s="250"/>
      <c r="E39" s="197"/>
      <c r="F39" s="197"/>
      <c r="H39" s="251"/>
      <c r="I39" s="252"/>
      <c r="J39" s="252"/>
      <c r="K39" s="252"/>
      <c r="L39" s="252"/>
      <c r="M39" s="252"/>
      <c r="N39" s="252"/>
      <c r="O39" s="252"/>
      <c r="P39" s="252"/>
      <c r="Q39" s="252"/>
      <c r="R39" s="252"/>
      <c r="S39" s="252"/>
      <c r="T39" s="252"/>
      <c r="U39" s="252"/>
      <c r="V39" s="252"/>
      <c r="W39" s="252"/>
      <c r="X39" s="252"/>
      <c r="Y39" s="252"/>
      <c r="Z39" s="252"/>
      <c r="AA39" s="252"/>
      <c r="AB39" s="252"/>
      <c r="AC39" s="252"/>
      <c r="AD39" s="252"/>
      <c r="AE39" s="252"/>
      <c r="AF39" s="252"/>
      <c r="AG39" s="252"/>
      <c r="AH39" s="252"/>
      <c r="AI39" s="252"/>
      <c r="AJ39" s="252"/>
      <c r="AK39" s="252"/>
      <c r="AL39" s="252"/>
      <c r="AM39" s="252"/>
      <c r="AN39" s="252"/>
      <c r="AO39" s="252"/>
      <c r="AP39" s="252"/>
      <c r="AQ39" s="252"/>
      <c r="AR39" s="252"/>
      <c r="AS39" s="252"/>
      <c r="AT39" s="252"/>
      <c r="AU39" s="252"/>
      <c r="AV39" s="252"/>
      <c r="AW39" s="252"/>
      <c r="AX39" s="252"/>
      <c r="AY39" s="252"/>
      <c r="AZ39" s="252"/>
      <c r="BB39" s="213"/>
      <c r="BC39" s="214"/>
      <c r="BD39" s="214"/>
      <c r="BE39" s="214"/>
      <c r="BG39" s="215"/>
      <c r="BH39" s="216"/>
      <c r="BI39" s="216"/>
      <c r="BK39" s="217"/>
      <c r="BL39" s="217"/>
      <c r="BM39" s="217"/>
      <c r="BN39" s="217"/>
      <c r="BO39" s="217"/>
      <c r="BP39" s="218"/>
      <c r="BQ39" s="171"/>
      <c r="BR39" s="171"/>
      <c r="BS39" s="171"/>
      <c r="BT39" s="171"/>
      <c r="BU39" s="54"/>
      <c r="BV39" s="174"/>
      <c r="BW39" s="174"/>
      <c r="BX39" s="174"/>
      <c r="BY39" s="174"/>
      <c r="BZ39" s="174"/>
      <c r="CA39" s="174"/>
      <c r="CB39" s="174"/>
      <c r="CC39" s="174"/>
      <c r="CD39" s="174"/>
      <c r="CE39" s="174"/>
      <c r="CF39" s="54"/>
      <c r="CG39" s="219"/>
      <c r="CH39" s="220"/>
    </row>
    <row r="41" spans="2:86" x14ac:dyDescent="0.35">
      <c r="D41" s="190" t="s">
        <v>160</v>
      </c>
      <c r="H41" s="221">
        <f t="shared" ref="H41:AX41" si="8">SUBTOTAL(9,H12:H40)</f>
        <v>0</v>
      </c>
      <c r="I41" s="221">
        <f t="shared" si="8"/>
        <v>103.99999999999963</v>
      </c>
      <c r="J41" s="221">
        <f t="shared" si="8"/>
        <v>103</v>
      </c>
      <c r="K41" s="221">
        <f t="shared" si="8"/>
        <v>103.00000000000054</v>
      </c>
      <c r="L41" s="221">
        <f t="shared" si="8"/>
        <v>110</v>
      </c>
      <c r="M41" s="221">
        <f t="shared" si="8"/>
        <v>99.1</v>
      </c>
      <c r="N41" s="221">
        <f t="shared" si="8"/>
        <v>100</v>
      </c>
      <c r="O41" s="221">
        <f t="shared" si="8"/>
        <v>99</v>
      </c>
      <c r="P41" s="221">
        <f t="shared" si="8"/>
        <v>93</v>
      </c>
      <c r="Q41" s="221">
        <f t="shared" si="8"/>
        <v>0</v>
      </c>
      <c r="R41" s="221">
        <f t="shared" si="8"/>
        <v>0</v>
      </c>
      <c r="S41" s="221">
        <f t="shared" si="8"/>
        <v>0</v>
      </c>
      <c r="T41" s="221">
        <f t="shared" si="8"/>
        <v>0</v>
      </c>
      <c r="U41" s="221">
        <f t="shared" si="8"/>
        <v>0</v>
      </c>
      <c r="V41" s="221">
        <f t="shared" si="8"/>
        <v>0</v>
      </c>
      <c r="W41" s="221">
        <f t="shared" si="8"/>
        <v>0</v>
      </c>
      <c r="X41" s="221">
        <f t="shared" si="8"/>
        <v>0</v>
      </c>
      <c r="Y41" s="221">
        <f t="shared" si="8"/>
        <v>0</v>
      </c>
      <c r="Z41" s="221">
        <f t="shared" si="8"/>
        <v>0</v>
      </c>
      <c r="AA41" s="221">
        <f t="shared" si="8"/>
        <v>0</v>
      </c>
      <c r="AB41" s="221">
        <f t="shared" si="8"/>
        <v>0</v>
      </c>
      <c r="AC41" s="221">
        <f t="shared" si="8"/>
        <v>0</v>
      </c>
      <c r="AD41" s="221">
        <f t="shared" si="8"/>
        <v>0</v>
      </c>
      <c r="AE41" s="221">
        <f t="shared" si="8"/>
        <v>0</v>
      </c>
      <c r="AF41" s="221">
        <f t="shared" si="8"/>
        <v>0</v>
      </c>
      <c r="AG41" s="221">
        <f t="shared" si="8"/>
        <v>0</v>
      </c>
      <c r="AH41" s="221">
        <f t="shared" si="8"/>
        <v>0</v>
      </c>
      <c r="AI41" s="253">
        <f t="shared" si="8"/>
        <v>0</v>
      </c>
      <c r="AJ41" s="221">
        <f t="shared" si="8"/>
        <v>0</v>
      </c>
      <c r="AK41" s="221">
        <f t="shared" si="8"/>
        <v>0</v>
      </c>
      <c r="AL41" s="221">
        <f t="shared" si="8"/>
        <v>73</v>
      </c>
      <c r="AM41" s="221">
        <f t="shared" si="8"/>
        <v>77</v>
      </c>
      <c r="AN41" s="221">
        <f t="shared" si="8"/>
        <v>77</v>
      </c>
      <c r="AO41" s="221">
        <f t="shared" si="8"/>
        <v>87</v>
      </c>
      <c r="AP41" s="254">
        <f t="shared" si="8"/>
        <v>83</v>
      </c>
      <c r="AQ41" s="254">
        <f t="shared" si="8"/>
        <v>94</v>
      </c>
      <c r="AR41" s="254">
        <f t="shared" si="8"/>
        <v>97</v>
      </c>
      <c r="AS41" s="254">
        <f t="shared" si="8"/>
        <v>110</v>
      </c>
      <c r="AT41" s="254">
        <f t="shared" si="8"/>
        <v>110</v>
      </c>
      <c r="AU41" s="254">
        <f t="shared" si="8"/>
        <v>100.70000000000076</v>
      </c>
      <c r="AV41" s="254">
        <f t="shared" si="8"/>
        <v>109.80000000000021</v>
      </c>
      <c r="AW41" s="254">
        <f t="shared" si="8"/>
        <v>110</v>
      </c>
      <c r="AX41" s="254">
        <f t="shared" si="8"/>
        <v>99</v>
      </c>
      <c r="AY41" s="221">
        <f>SUBTOTAL(9,AP12:AP40)</f>
        <v>83</v>
      </c>
      <c r="AZ41" s="221">
        <f>SUBTOTAL(9,AQ12:AQ40)</f>
        <v>94</v>
      </c>
      <c r="BB41" s="221">
        <f>SUBTOTAL(9,AS12:AS40)</f>
        <v>110</v>
      </c>
      <c r="BC41" s="221">
        <f>SUBTOTAL(9,AT12:AT40)</f>
        <v>110</v>
      </c>
      <c r="BD41" s="221">
        <f>SUBTOTAL(9,AU12:AU40)</f>
        <v>100.70000000000076</v>
      </c>
      <c r="BE41" s="221">
        <f>SUBTOTAL(9,AV12:AV40)</f>
        <v>109.80000000000021</v>
      </c>
      <c r="BG41" s="222">
        <f>SUBTOTAL(9,AX12:AX40)</f>
        <v>99</v>
      </c>
      <c r="BH41" s="222">
        <f>SUBTOTAL(9,AY12:AY40)</f>
        <v>99</v>
      </c>
      <c r="BI41" s="222">
        <f>SUBTOTAL(9,AZ12:AZ40)</f>
        <v>0</v>
      </c>
      <c r="BK41" s="221">
        <f t="shared" ref="BK41:BT41" si="9">SUBTOTAL(9,BB12:BB40)</f>
        <v>1399.1000000000004</v>
      </c>
      <c r="BL41" s="221">
        <f t="shared" si="9"/>
        <v>110</v>
      </c>
      <c r="BM41" s="221" t="e">
        <f t="shared" ca="1" si="9"/>
        <v>#VALUE!</v>
      </c>
      <c r="BN41" s="221">
        <f t="shared" si="9"/>
        <v>210.70000000000076</v>
      </c>
      <c r="BO41" s="221">
        <f t="shared" si="9"/>
        <v>0</v>
      </c>
      <c r="BP41" s="221">
        <f t="shared" si="9"/>
        <v>7146.369999999999</v>
      </c>
      <c r="BQ41" s="221">
        <f t="shared" si="9"/>
        <v>2759.5</v>
      </c>
      <c r="BR41" s="221">
        <f t="shared" si="9"/>
        <v>198</v>
      </c>
      <c r="BS41" s="221">
        <f t="shared" si="9"/>
        <v>0</v>
      </c>
      <c r="BT41" s="221">
        <f t="shared" si="9"/>
        <v>0</v>
      </c>
      <c r="BV41" s="222">
        <f t="shared" ref="BV41:CE41" si="10">SUBTOTAL(9,BM12:BM40)</f>
        <v>2759.5</v>
      </c>
      <c r="BW41" s="222">
        <f t="shared" si="10"/>
        <v>0</v>
      </c>
      <c r="BX41" s="222">
        <f t="shared" si="10"/>
        <v>0</v>
      </c>
      <c r="BY41" s="222">
        <f t="shared" si="10"/>
        <v>0</v>
      </c>
      <c r="BZ41" s="222">
        <f t="shared" si="10"/>
        <v>0</v>
      </c>
      <c r="CA41" s="222">
        <f t="shared" si="10"/>
        <v>0</v>
      </c>
      <c r="CB41" s="222">
        <f t="shared" si="10"/>
        <v>0</v>
      </c>
      <c r="CC41" s="222">
        <f t="shared" si="10"/>
        <v>0</v>
      </c>
      <c r="CD41" s="222">
        <f t="shared" si="10"/>
        <v>0</v>
      </c>
      <c r="CE41" s="222">
        <f t="shared" si="10"/>
        <v>0</v>
      </c>
    </row>
  </sheetData>
  <mergeCells count="30">
    <mergeCell ref="B34:B35"/>
    <mergeCell ref="D34:D35"/>
    <mergeCell ref="AT34:AT35"/>
    <mergeCell ref="B36:B37"/>
    <mergeCell ref="D36:D37"/>
    <mergeCell ref="AT36:AT37"/>
    <mergeCell ref="B29:B31"/>
    <mergeCell ref="D29:D31"/>
    <mergeCell ref="AT29:AT31"/>
    <mergeCell ref="B32:B33"/>
    <mergeCell ref="D32:D33"/>
    <mergeCell ref="AT32:AT33"/>
    <mergeCell ref="B23:B25"/>
    <mergeCell ref="D23:D25"/>
    <mergeCell ref="AT23:AT25"/>
    <mergeCell ref="B26:B28"/>
    <mergeCell ref="D26:D28"/>
    <mergeCell ref="AT26:AT28"/>
    <mergeCell ref="B18:B19"/>
    <mergeCell ref="D18:D19"/>
    <mergeCell ref="AT18:AT19"/>
    <mergeCell ref="B20:B22"/>
    <mergeCell ref="D20:D22"/>
    <mergeCell ref="AT20:AT22"/>
    <mergeCell ref="B12:B14"/>
    <mergeCell ref="D12:D14"/>
    <mergeCell ref="AT12:AT14"/>
    <mergeCell ref="B15:B17"/>
    <mergeCell ref="D15:D17"/>
    <mergeCell ref="AT15:AT17"/>
  </mergeCells>
  <conditionalFormatting sqref="D12 D15 D18 D20 D23 D26 D29 D32 D34">
    <cfRule type="duplicateValues" dxfId="2" priority="4"/>
  </conditionalFormatting>
  <conditionalFormatting sqref="D36">
    <cfRule type="duplicateValues" dxfId="1" priority="2"/>
  </conditionalFormatting>
  <conditionalFormatting sqref="D38:D39">
    <cfRule type="duplicateValues" dxfId="0" priority="3"/>
  </conditionalFormatting>
  <pageMargins left="0.7" right="0.7" top="0.75" bottom="0.75" header="0.511811023622047" footer="0.511811023622047"/>
  <pageSetup paperSize="8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B1:M24"/>
  <sheetViews>
    <sheetView zoomScaleNormal="100" workbookViewId="0">
      <selection activeCell="H31" sqref="H31"/>
    </sheetView>
  </sheetViews>
  <sheetFormatPr defaultColWidth="8.6328125" defaultRowHeight="14.5" outlineLevelRow="1" x14ac:dyDescent="0.35"/>
  <cols>
    <col min="1" max="1" width="3" customWidth="1"/>
    <col min="2" max="2" width="16.26953125" customWidth="1"/>
    <col min="4" max="4" width="38.7265625" customWidth="1"/>
    <col min="5" max="5" width="9.453125" customWidth="1"/>
    <col min="6" max="6" width="15.7265625" customWidth="1"/>
    <col min="7" max="7" width="22.54296875" customWidth="1"/>
    <col min="8" max="8" width="15.26953125" customWidth="1"/>
    <col min="9" max="10" width="11.1796875" customWidth="1"/>
    <col min="11" max="11" width="3.1796875" customWidth="1"/>
    <col min="12" max="12" width="20.81640625" customWidth="1"/>
    <col min="13" max="13" width="20" customWidth="1"/>
  </cols>
  <sheetData>
    <row r="1" spans="2:13" x14ac:dyDescent="0.35">
      <c r="B1" s="60" t="s">
        <v>48</v>
      </c>
      <c r="C1" s="15" t="str">
        <f>Payment_Summary!C3</f>
        <v>PH-AA-0001</v>
      </c>
    </row>
    <row r="2" spans="2:13" x14ac:dyDescent="0.35">
      <c r="B2" s="60" t="s">
        <v>49</v>
      </c>
      <c r="C2" s="15" t="str">
        <f>Payment_Summary!C4</f>
        <v xml:space="preserve">PLANT HIRE SERVICES FOR BENTHIC REMOVAL </v>
      </c>
    </row>
    <row r="3" spans="2:13" x14ac:dyDescent="0.35">
      <c r="B3" s="60" t="s">
        <v>50</v>
      </c>
      <c r="C3" s="15" t="str">
        <f>Payment_Summary!C5</f>
        <v>Rirratjingu Enterprises Pty Ltd (ACN 56 639 548 137)</v>
      </c>
    </row>
    <row r="4" spans="2:13" x14ac:dyDescent="0.35">
      <c r="B4" s="60" t="s">
        <v>51</v>
      </c>
      <c r="C4" s="15" t="str">
        <f>Payment_Summary!C6</f>
        <v>Z-2264070.04.50.30.01</v>
      </c>
    </row>
    <row r="5" spans="2:13" x14ac:dyDescent="0.35">
      <c r="B5" s="60" t="s">
        <v>52</v>
      </c>
      <c r="C5" s="15" t="str">
        <f>Payment_Summary!C7</f>
        <v>PC004</v>
      </c>
    </row>
    <row r="6" spans="2:13" x14ac:dyDescent="0.35">
      <c r="B6" s="60" t="s">
        <v>53</v>
      </c>
      <c r="C6" s="15" t="str">
        <f>Payment_Summary!C8</f>
        <v>06/12/25 - 31/01/25</v>
      </c>
    </row>
    <row r="8" spans="2:13" x14ac:dyDescent="0.35">
      <c r="B8" s="60" t="s">
        <v>222</v>
      </c>
    </row>
    <row r="10" spans="2:13" ht="39" customHeight="1" x14ac:dyDescent="0.35">
      <c r="B10" s="66" t="s">
        <v>223</v>
      </c>
      <c r="C10" s="66" t="s">
        <v>224</v>
      </c>
      <c r="D10" s="66" t="s">
        <v>225</v>
      </c>
      <c r="E10" s="70" t="s">
        <v>226</v>
      </c>
      <c r="F10" s="70" t="s">
        <v>227</v>
      </c>
      <c r="G10" s="70" t="s">
        <v>228</v>
      </c>
      <c r="H10" s="78" t="s">
        <v>229</v>
      </c>
      <c r="I10" s="78" t="s">
        <v>230</v>
      </c>
      <c r="J10" s="77" t="s">
        <v>99</v>
      </c>
      <c r="K10" s="15"/>
      <c r="L10" s="255" t="s">
        <v>123</v>
      </c>
      <c r="M10" s="255" t="s">
        <v>124</v>
      </c>
    </row>
    <row r="11" spans="2:13" x14ac:dyDescent="0.35">
      <c r="B11" s="256"/>
      <c r="C11" s="256"/>
      <c r="D11" s="257"/>
      <c r="E11" s="258"/>
      <c r="F11" s="259"/>
      <c r="G11" s="259"/>
      <c r="H11" s="260"/>
      <c r="I11" s="261"/>
      <c r="J11" s="261"/>
      <c r="K11" s="15"/>
      <c r="L11" s="262"/>
      <c r="M11" s="262"/>
    </row>
    <row r="12" spans="2:13" hidden="1" outlineLevel="1" x14ac:dyDescent="0.35">
      <c r="B12" s="263" t="s">
        <v>114</v>
      </c>
      <c r="C12" s="263" t="s">
        <v>94</v>
      </c>
      <c r="D12" s="264" t="s">
        <v>231</v>
      </c>
      <c r="E12" s="265" t="s">
        <v>232</v>
      </c>
      <c r="F12" s="264" t="s">
        <v>232</v>
      </c>
      <c r="G12" s="264" t="s">
        <v>232</v>
      </c>
      <c r="H12" s="266">
        <v>15953.82</v>
      </c>
      <c r="I12" s="266">
        <f>H12*0.12</f>
        <v>1914.4584</v>
      </c>
      <c r="J12" s="266">
        <f>H12+I12</f>
        <v>17868.278399999999</v>
      </c>
      <c r="K12" s="15"/>
      <c r="L12" s="262"/>
      <c r="M12" s="262"/>
    </row>
    <row r="13" spans="2:13" hidden="1" outlineLevel="1" x14ac:dyDescent="0.35">
      <c r="B13" s="267" t="s">
        <v>115</v>
      </c>
      <c r="C13" s="263" t="s">
        <v>94</v>
      </c>
      <c r="D13" s="264" t="s">
        <v>233</v>
      </c>
      <c r="E13" s="268">
        <v>45968</v>
      </c>
      <c r="F13" s="269" t="s">
        <v>234</v>
      </c>
      <c r="G13" s="269" t="s">
        <v>235</v>
      </c>
      <c r="H13" s="270">
        <v>1800</v>
      </c>
      <c r="I13" s="266">
        <f>H13*0.12</f>
        <v>216</v>
      </c>
      <c r="J13" s="266">
        <f>H13+I13</f>
        <v>2016</v>
      </c>
      <c r="K13" s="15"/>
      <c r="L13" s="271"/>
      <c r="M13" s="272"/>
    </row>
    <row r="14" spans="2:13" hidden="1" outlineLevel="1" x14ac:dyDescent="0.35">
      <c r="B14" s="267" t="s">
        <v>115</v>
      </c>
      <c r="C14" s="263" t="s">
        <v>94</v>
      </c>
      <c r="D14" s="269" t="s">
        <v>236</v>
      </c>
      <c r="E14" s="268"/>
      <c r="F14" s="269">
        <v>1787</v>
      </c>
      <c r="G14" s="269" t="s">
        <v>237</v>
      </c>
      <c r="H14" s="270">
        <v>7318.14</v>
      </c>
      <c r="I14" s="266">
        <f>H14*0.12</f>
        <v>878.17679999999996</v>
      </c>
      <c r="J14" s="266">
        <f>H14+I14</f>
        <v>8196.3168000000005</v>
      </c>
      <c r="K14" s="15"/>
      <c r="L14" s="271"/>
      <c r="M14" s="272"/>
    </row>
    <row r="15" spans="2:13" hidden="1" outlineLevel="1" x14ac:dyDescent="0.35">
      <c r="B15" s="267" t="s">
        <v>116</v>
      </c>
      <c r="C15" s="263" t="s">
        <v>94</v>
      </c>
      <c r="D15" s="269" t="s">
        <v>238</v>
      </c>
      <c r="E15" s="268">
        <v>45994</v>
      </c>
      <c r="F15" s="269">
        <v>2035</v>
      </c>
      <c r="G15" s="269" t="s">
        <v>237</v>
      </c>
      <c r="H15" s="270">
        <v>2068.17</v>
      </c>
      <c r="I15" s="270">
        <f>H15*0.12</f>
        <v>248.18039999999999</v>
      </c>
      <c r="J15" s="273">
        <f>H15+I15</f>
        <v>2316.3504000000003</v>
      </c>
      <c r="K15" s="15"/>
      <c r="L15" s="271"/>
      <c r="M15" s="272"/>
    </row>
    <row r="16" spans="2:13" x14ac:dyDescent="0.35">
      <c r="B16" s="274" t="str">
        <f>C5</f>
        <v>PC004</v>
      </c>
      <c r="C16" s="275" t="s">
        <v>94</v>
      </c>
      <c r="D16" s="276"/>
      <c r="E16" s="277"/>
      <c r="F16" s="276"/>
      <c r="G16" s="276"/>
      <c r="H16" s="278"/>
      <c r="I16" s="278"/>
      <c r="J16" s="278"/>
      <c r="K16" s="15"/>
      <c r="L16" s="271"/>
      <c r="M16" s="272"/>
    </row>
    <row r="17" spans="2:13" x14ac:dyDescent="0.35">
      <c r="B17" s="274" t="str">
        <f>C5</f>
        <v>PC004</v>
      </c>
      <c r="C17" s="275" t="s">
        <v>94</v>
      </c>
      <c r="D17" s="276"/>
      <c r="E17" s="277"/>
      <c r="F17" s="276"/>
      <c r="G17" s="276"/>
      <c r="H17" s="278"/>
      <c r="I17" s="278"/>
      <c r="J17" s="278"/>
      <c r="K17" s="15"/>
      <c r="L17" s="271"/>
      <c r="M17" s="272"/>
    </row>
    <row r="18" spans="2:13" x14ac:dyDescent="0.35">
      <c r="B18" s="274" t="str">
        <f>C5</f>
        <v>PC004</v>
      </c>
      <c r="C18" s="275" t="s">
        <v>94</v>
      </c>
      <c r="D18" s="276"/>
      <c r="E18" s="277"/>
      <c r="F18" s="276"/>
      <c r="G18" s="276"/>
      <c r="H18" s="278"/>
      <c r="I18" s="278"/>
      <c r="J18" s="278"/>
      <c r="K18" s="15"/>
      <c r="L18" s="271"/>
      <c r="M18" s="272"/>
    </row>
    <row r="19" spans="2:13" x14ac:dyDescent="0.35">
      <c r="B19" s="274" t="str">
        <f>C5</f>
        <v>PC004</v>
      </c>
      <c r="C19" s="275" t="s">
        <v>94</v>
      </c>
      <c r="D19" s="276"/>
      <c r="E19" s="277"/>
      <c r="F19" s="276"/>
      <c r="G19" s="276"/>
      <c r="H19" s="278"/>
      <c r="I19" s="278"/>
      <c r="J19" s="278"/>
      <c r="K19" s="15"/>
      <c r="L19" s="271"/>
      <c r="M19" s="272"/>
    </row>
    <row r="20" spans="2:13" x14ac:dyDescent="0.35">
      <c r="B20" s="279"/>
      <c r="C20" s="279"/>
      <c r="D20" s="279"/>
      <c r="E20" s="280"/>
      <c r="F20" s="281"/>
      <c r="G20" s="281"/>
      <c r="H20" s="282"/>
      <c r="I20" s="282"/>
      <c r="J20" s="282"/>
      <c r="K20" s="15"/>
      <c r="L20" s="283"/>
      <c r="M20" s="283"/>
    </row>
    <row r="22" spans="2:13" x14ac:dyDescent="0.35">
      <c r="D22" s="284" t="s">
        <v>239</v>
      </c>
      <c r="E22" s="285"/>
      <c r="F22" s="285"/>
      <c r="G22" s="286" t="str">
        <f>C5</f>
        <v>PC004</v>
      </c>
      <c r="H22" s="287">
        <f>SUMIF($B$11:$B$21,$G22,H$11:H$21)</f>
        <v>0</v>
      </c>
      <c r="I22" s="287">
        <f>SUMIF($B$11:$B$21,$G22,I$11:I$21)</f>
        <v>0</v>
      </c>
      <c r="J22" s="287">
        <f>SUMIF($B$11:$B$21,$G22,J$11:J$21)</f>
        <v>0</v>
      </c>
    </row>
    <row r="23" spans="2:13" x14ac:dyDescent="0.35">
      <c r="D23" s="15"/>
      <c r="G23" s="15"/>
      <c r="H23" s="56" t="s">
        <v>240</v>
      </c>
      <c r="I23" s="56"/>
      <c r="J23" s="56"/>
    </row>
    <row r="24" spans="2:13" x14ac:dyDescent="0.35">
      <c r="D24" s="284" t="s">
        <v>241</v>
      </c>
      <c r="E24" s="285"/>
      <c r="F24" s="285"/>
      <c r="G24" s="288"/>
      <c r="H24" s="289">
        <f>ROUND(SUBTOTAL(9,H11:H21),2)</f>
        <v>27140.13</v>
      </c>
      <c r="I24" s="289">
        <f>ROUND(SUBTOTAL(9,I11:I21),2)</f>
        <v>3256.82</v>
      </c>
      <c r="J24" s="289">
        <f>ROUND(SUBTOTAL(9,J11:J21),2)</f>
        <v>30396.95</v>
      </c>
    </row>
  </sheetData>
  <pageMargins left="0.7" right="0.7" top="0.75" bottom="0.75" header="0.511811023622047" footer="0.511811023622047"/>
  <pageSetup paperSize="9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C31"/>
  <sheetViews>
    <sheetView zoomScale="80" zoomScaleNormal="80" workbookViewId="0">
      <selection activeCell="F35" sqref="F35"/>
    </sheetView>
  </sheetViews>
  <sheetFormatPr defaultColWidth="8.6328125" defaultRowHeight="14.5" x14ac:dyDescent="0.35"/>
  <cols>
    <col min="1" max="1" width="36" customWidth="1"/>
    <col min="2" max="4" width="14" customWidth="1"/>
    <col min="5" max="5" width="12" customWidth="1"/>
    <col min="6" max="6" width="9.81640625" customWidth="1"/>
    <col min="7" max="7" width="17.81640625" customWidth="1"/>
    <col min="8" max="8" width="13.1796875" customWidth="1"/>
    <col min="9" max="9" width="12.1796875" customWidth="1"/>
    <col min="10" max="10" width="16" customWidth="1"/>
    <col min="11" max="11" width="32" customWidth="1"/>
    <col min="12" max="12" width="14" customWidth="1"/>
    <col min="13" max="19" width="12" customWidth="1"/>
    <col min="20" max="20" width="16" customWidth="1"/>
    <col min="21" max="25" width="18" customWidth="1"/>
    <col min="27" max="29" width="12.1796875" customWidth="1"/>
  </cols>
  <sheetData>
    <row r="1" spans="1:26" ht="21" customHeight="1" x14ac:dyDescent="0.5">
      <c r="A1" s="290" t="s">
        <v>242</v>
      </c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1"/>
      <c r="Q1" s="291"/>
      <c r="R1" s="291"/>
      <c r="S1" s="291"/>
      <c r="T1" s="291"/>
      <c r="U1" s="291"/>
      <c r="V1" s="291"/>
      <c r="W1" s="291"/>
      <c r="X1" s="291"/>
      <c r="Y1" s="291"/>
    </row>
    <row r="2" spans="1:26" x14ac:dyDescent="0.35">
      <c r="A2" s="292"/>
    </row>
    <row r="3" spans="1:26" x14ac:dyDescent="0.35">
      <c r="A3" s="292" t="s">
        <v>243</v>
      </c>
      <c r="B3" s="293">
        <v>45962</v>
      </c>
      <c r="K3" s="294" t="s">
        <v>244</v>
      </c>
      <c r="L3">
        <v>200</v>
      </c>
    </row>
    <row r="4" spans="1:26" x14ac:dyDescent="0.35">
      <c r="A4" s="292" t="s">
        <v>245</v>
      </c>
      <c r="B4" s="295">
        <v>45997</v>
      </c>
    </row>
    <row r="5" spans="1:26" x14ac:dyDescent="0.35">
      <c r="A5" s="292"/>
    </row>
    <row r="6" spans="1:26" x14ac:dyDescent="0.35">
      <c r="A6" s="296" t="s">
        <v>246</v>
      </c>
      <c r="B6" s="297" t="s">
        <v>247</v>
      </c>
      <c r="C6" s="297" t="s">
        <v>248</v>
      </c>
      <c r="D6" s="297" t="s">
        <v>249</v>
      </c>
      <c r="E6" s="297" t="s">
        <v>250</v>
      </c>
      <c r="F6" s="297" t="s">
        <v>251</v>
      </c>
      <c r="G6" s="297" t="s">
        <v>252</v>
      </c>
      <c r="H6" s="297" t="s">
        <v>253</v>
      </c>
      <c r="I6" s="297" t="s">
        <v>254</v>
      </c>
      <c r="J6" s="297" t="s">
        <v>255</v>
      </c>
      <c r="K6" s="297" t="s">
        <v>256</v>
      </c>
      <c r="L6" s="297" t="s">
        <v>257</v>
      </c>
      <c r="M6" s="297" t="s">
        <v>258</v>
      </c>
      <c r="N6" s="297" t="s">
        <v>259</v>
      </c>
      <c r="O6" s="297" t="s">
        <v>260</v>
      </c>
      <c r="P6" s="297" t="s">
        <v>261</v>
      </c>
      <c r="Q6" s="297" t="s">
        <v>262</v>
      </c>
      <c r="R6" s="297" t="s">
        <v>263</v>
      </c>
      <c r="S6" s="297" t="s">
        <v>264</v>
      </c>
      <c r="T6" s="297" t="s">
        <v>265</v>
      </c>
      <c r="U6" s="297" t="s">
        <v>266</v>
      </c>
      <c r="V6" s="298" t="s">
        <v>267</v>
      </c>
      <c r="W6" s="298" t="s">
        <v>268</v>
      </c>
      <c r="X6" s="298" t="s">
        <v>269</v>
      </c>
      <c r="Y6" s="298" t="s">
        <v>270</v>
      </c>
    </row>
    <row r="7" spans="1:26" x14ac:dyDescent="0.35">
      <c r="A7" s="292" t="s">
        <v>167</v>
      </c>
      <c r="B7">
        <f>SUMIFS('Daily Log'!$C:$C,'Daily Log'!$B:$B,A7,'Daily Log'!$A:$A,"&gt;="&amp;$B$3,'Daily Log'!$A:$A,"&lt;="&amp;$B$4)</f>
        <v>151</v>
      </c>
      <c r="C7">
        <f>SUMIFS('Daily Log'!$D:$D,'Daily Log'!$B:$B,A7,'Daily Log'!$A:$A,"&gt;="&amp;$B$3,'Daily Log'!$A:$A,"&lt;="&amp;$B$4)</f>
        <v>153</v>
      </c>
      <c r="D7">
        <f t="shared" ref="D7:D25" si="0">B7+C7</f>
        <v>304</v>
      </c>
      <c r="E7" s="299">
        <f>IFERROR(_xlfn.XLOOKUP(A7,'RE Rates'!$A:$A,'RE Rates'!$B:$B,0),0)</f>
        <v>139.15</v>
      </c>
      <c r="F7" s="300"/>
      <c r="G7" s="300"/>
      <c r="H7" s="300"/>
      <c r="I7" s="299">
        <f>IFERROR(_xlfn.XLOOKUP(A7,'RE Rates'!$A:$A,'RE Rates'!$E:$E,0),0)</f>
        <v>83.6</v>
      </c>
      <c r="J7" s="299">
        <f t="shared" ref="J7:J17" si="1">N(B7)*(N(E7))</f>
        <v>21011.65</v>
      </c>
      <c r="K7" s="299">
        <f t="shared" ref="K7:K25" si="2">N(C7)*N(I7)</f>
        <v>12790.8</v>
      </c>
      <c r="L7">
        <f>SUMIFS('Daily Log'!$K:$K,'Daily Log'!$B:$B,A7,'Daily Log'!$A:$A,"&gt;="&amp;$B$3,'Daily Log'!$A:$A,"&lt;="&amp;$B$4)</f>
        <v>0</v>
      </c>
      <c r="M7">
        <f>SUMIFS('Daily Log'!$G:$G,'Daily Log'!$B:$B,A7,'Daily Log'!$A:$A,"&gt;="&amp;$B$3,'Daily Log'!$A:$A,"&lt;="&amp;$B$4)</f>
        <v>0</v>
      </c>
      <c r="N7">
        <f>SUMIFS('Daily Log'!$H:$H,'Daily Log'!$B:$B,A7,'Daily Log'!$A:$A,"&gt;="&amp;$B$3,'Daily Log'!$A:$A,"&lt;="&amp;$B$4)</f>
        <v>0</v>
      </c>
      <c r="O7">
        <f>SUMIFS('Daily Log'!$I:$I,'Daily Log'!$B:$B,A7,'Daily Log'!$A:$A,"&gt;="&amp;$B$3,'Daily Log'!$A:$A,"&lt;="&amp;$B$4)</f>
        <v>0</v>
      </c>
      <c r="P7">
        <f>SUMIFS('Daily Log'!$J:$J,'Daily Log'!$B:$B,A7,'Daily Log'!$A:$A,"&gt;="&amp;$B$3,'Daily Log'!$A:$A,"&lt;="&amp;$B$4)</f>
        <v>0</v>
      </c>
      <c r="Q7">
        <f>SUMIFS('Daily Log'!$L:$L,'Daily Log'!$B:$B,A7,'Daily Log'!$A:$A,"&gt;="&amp;$B$3,'Daily Log'!$A:$A,"&lt;="&amp;$B$4)</f>
        <v>0</v>
      </c>
      <c r="R7">
        <f>SUMIFS('Daily Log'!$M:$M,'Daily Log'!$B:$B,A7,'Daily Log'!$A:$A,"&gt;="&amp;$B$3,'Daily Log'!$A:$A,"&lt;="&amp;$B$4)</f>
        <v>0</v>
      </c>
      <c r="S7">
        <f>SUMIFS('Daily Log'!$N:$N,'Daily Log'!$B:$B,A7,'Daily Log'!$A:$A,"&gt;="&amp;$B$3,'Daily Log'!$A:$A,"&lt;="&amp;$B$4)</f>
        <v>0</v>
      </c>
      <c r="T7" s="299">
        <f>N(L7)*IFERROR(_xlfn.XLOOKUP(A7,'RE Rates'!$A:$A,'RE Rates'!$F:$F,0),0)+N(M7)*IFERROR(_xlfn.XLOOKUP(A7,'RE Rates'!$A:$A,'RE Rates'!$G:$G,0),0)+N(N7)*IFERROR(_xlfn.XLOOKUP(A7,'RE Rates'!$A:$A,'RE Rates'!$H:$H,0),0)+N(O7)*IFERROR(_xlfn.XLOOKUP(A7,'RE Rates'!$A:$A,'RE Rates'!$I:$I,0),0)+N(P7)*IFERROR(_xlfn.XLOOKUP(A7,'RE Rates'!$A:$A,'RE Rates'!$J:$J,0),0)+N(Q7)*IFERROR(_xlfn.XLOOKUP(A7,'RE Rates'!$A:$A,'RE Rates'!$K:$K,0),0)+N(R7)*IFERROR(_xlfn.XLOOKUP(A7,'RE Rates'!$A:$A,'RE Rates'!$L:$L,0),0)+N(S7)*IFERROR(_xlfn.XLOOKUP(A7,'RE Rates'!$A:$A,'RE Rates'!$M:$M,0),0)</f>
        <v>0</v>
      </c>
      <c r="U7" s="299">
        <f t="shared" ref="U7:U22" si="3">N(J7)+N(K7)+N(T7)</f>
        <v>33802.449999999997</v>
      </c>
      <c r="V7">
        <f t="shared" ref="V7:V15" si="4">MAX($L$3 - ROUND(N(D7),2), 0)</f>
        <v>0</v>
      </c>
      <c r="W7" s="299">
        <f t="shared" ref="W7:W25" si="5">N(E7) + N(H7)</f>
        <v>139.15</v>
      </c>
      <c r="X7" s="299">
        <f t="shared" ref="X7:X16" si="6">N(V7) * N(W7)</f>
        <v>0</v>
      </c>
      <c r="Y7" s="299">
        <f>N(U7) + N(X7)</f>
        <v>33802.449999999997</v>
      </c>
    </row>
    <row r="8" spans="1:26" x14ac:dyDescent="0.35">
      <c r="A8" s="292" t="s">
        <v>170</v>
      </c>
      <c r="B8">
        <f>SUMIFS('Daily Log'!$C:$C,'Daily Log'!$B:$B,A8,'Daily Log'!$A:$A,"&gt;="&amp;$B$3,'Daily Log'!$A:$A,"&lt;="&amp;$B$4)</f>
        <v>163</v>
      </c>
      <c r="C8">
        <f>SUMIFS('Daily Log'!$D:$D,'Daily Log'!$B:$B,A8,'Daily Log'!$A:$A,"&gt;="&amp;$B$3,'Daily Log'!$A:$A,"&lt;="&amp;$B$4)</f>
        <v>141</v>
      </c>
      <c r="D8">
        <f t="shared" si="0"/>
        <v>304</v>
      </c>
      <c r="E8" s="299">
        <f>IFERROR(_xlfn.XLOOKUP(A8,'RE Rates'!$A:$A,'RE Rates'!$B:$B,0),0)</f>
        <v>168.3</v>
      </c>
      <c r="F8" s="300"/>
      <c r="G8" s="300"/>
      <c r="H8" s="300"/>
      <c r="I8" s="299">
        <f>IFERROR(_xlfn.XLOOKUP(A8,'RE Rates'!$A:$A,'RE Rates'!$E:$E,0),0)</f>
        <v>101.2</v>
      </c>
      <c r="J8" s="299">
        <f t="shared" si="1"/>
        <v>27432.9</v>
      </c>
      <c r="K8" s="299">
        <f t="shared" si="2"/>
        <v>14269.2</v>
      </c>
      <c r="L8">
        <f>SUMIFS('Daily Log'!$K:$K,'Daily Log'!$B:$B,A8,'Daily Log'!$A:$A,"&gt;="&amp;$B$3,'Daily Log'!$A:$A,"&lt;="&amp;$B$4)</f>
        <v>0</v>
      </c>
      <c r="M8">
        <f>SUMIFS('Daily Log'!$G:$G,'Daily Log'!$B:$B,A8,'Daily Log'!$A:$A,"&gt;="&amp;$B$3,'Daily Log'!$A:$A,"&lt;="&amp;$B$4)</f>
        <v>0</v>
      </c>
      <c r="N8">
        <f>SUMIFS('Daily Log'!$H:$H,'Daily Log'!$B:$B,A8,'Daily Log'!$A:$A,"&gt;="&amp;$B$3,'Daily Log'!$A:$A,"&lt;="&amp;$B$4)</f>
        <v>0</v>
      </c>
      <c r="O8">
        <f>SUMIFS('Daily Log'!$I:$I,'Daily Log'!$B:$B,A8,'Daily Log'!$A:$A,"&gt;="&amp;$B$3,'Daily Log'!$A:$A,"&lt;="&amp;$B$4)</f>
        <v>0</v>
      </c>
      <c r="P8">
        <f>SUMIFS('Daily Log'!$J:$J,'Daily Log'!$B:$B,A8,'Daily Log'!$A:$A,"&gt;="&amp;$B$3,'Daily Log'!$A:$A,"&lt;="&amp;$B$4)</f>
        <v>0</v>
      </c>
      <c r="Q8">
        <f>SUMIFS('Daily Log'!$L:$L,'Daily Log'!$B:$B,A8,'Daily Log'!$A:$A,"&gt;="&amp;$B$3,'Daily Log'!$A:$A,"&lt;="&amp;$B$4)</f>
        <v>0</v>
      </c>
      <c r="R8">
        <f>SUMIFS('Daily Log'!$M:$M,'Daily Log'!$B:$B,A8,'Daily Log'!$A:$A,"&gt;="&amp;$B$3,'Daily Log'!$A:$A,"&lt;="&amp;$B$4)</f>
        <v>0</v>
      </c>
      <c r="S8">
        <f>SUMIFS('Daily Log'!$N:$N,'Daily Log'!$B:$B,A8,'Daily Log'!$A:$A,"&gt;="&amp;$B$3,'Daily Log'!$A:$A,"&lt;="&amp;$B$4)</f>
        <v>0</v>
      </c>
      <c r="T8" s="299">
        <f>N(L8)*IFERROR(_xlfn.XLOOKUP(A8,'RE Rates'!$A:$A,'RE Rates'!$F:$F,0),0)+N(M8)*IFERROR(_xlfn.XLOOKUP(A8,'RE Rates'!$A:$A,'RE Rates'!$G:$G,0),0)+N(N8)*IFERROR(_xlfn.XLOOKUP(A8,'RE Rates'!$A:$A,'RE Rates'!$H:$H,0),0)+N(O8)*IFERROR(_xlfn.XLOOKUP(A8,'RE Rates'!$A:$A,'RE Rates'!$I:$I,0),0)+N(P8)*IFERROR(_xlfn.XLOOKUP(A8,'RE Rates'!$A:$A,'RE Rates'!$J:$J,0),0)+N(Q8)*IFERROR(_xlfn.XLOOKUP(A8,'RE Rates'!$A:$A,'RE Rates'!$K:$K,0),0)+N(R8)*IFERROR(_xlfn.XLOOKUP(A8,'RE Rates'!$A:$A,'RE Rates'!$L:$L,0),0)+N(S8)*IFERROR(_xlfn.XLOOKUP(A8,'RE Rates'!$A:$A,'RE Rates'!$M:$M,0),0)</f>
        <v>0</v>
      </c>
      <c r="U8" s="299">
        <f t="shared" si="3"/>
        <v>41702.100000000006</v>
      </c>
      <c r="V8">
        <f t="shared" si="4"/>
        <v>0</v>
      </c>
      <c r="W8" s="299">
        <f t="shared" si="5"/>
        <v>168.3</v>
      </c>
      <c r="X8" s="299">
        <f t="shared" si="6"/>
        <v>0</v>
      </c>
      <c r="Y8" s="299">
        <f>N(U8) + N(X8)</f>
        <v>41702.100000000006</v>
      </c>
    </row>
    <row r="9" spans="1:26" x14ac:dyDescent="0.35">
      <c r="A9" s="292" t="s">
        <v>173</v>
      </c>
      <c r="B9">
        <f>SUMIFS('Daily Log'!$C:$C,'Daily Log'!$B:$B,A9,'Daily Log'!$A:$A,"&gt;="&amp;$B$3,'Daily Log'!$A:$A,"&lt;="&amp;$B$4)</f>
        <v>104.89999999999856</v>
      </c>
      <c r="C9">
        <f>SUMIFS('Daily Log'!$D:$D,'Daily Log'!$B:$B,A9,'Daily Log'!$A:$A,"&gt;="&amp;$B$3,'Daily Log'!$A:$A,"&lt;="&amp;$B$4)</f>
        <v>190.10000000000079</v>
      </c>
      <c r="D9">
        <f t="shared" si="0"/>
        <v>294.99999999999932</v>
      </c>
      <c r="E9" s="299">
        <f>IFERROR(_xlfn.XLOOKUP(A9,'RE Rates'!$A:$A,'RE Rates'!$B:$B,0),0)</f>
        <v>255.75</v>
      </c>
      <c r="F9" s="300"/>
      <c r="G9" s="300"/>
      <c r="H9" s="300"/>
      <c r="I9" s="299">
        <f>IFERROR(_xlfn.XLOOKUP(A9,'RE Rates'!$A:$A,'RE Rates'!$E:$E,0),0)</f>
        <v>153.44999999999999</v>
      </c>
      <c r="J9" s="299">
        <f t="shared" si="1"/>
        <v>26828.174999999632</v>
      </c>
      <c r="K9" s="299">
        <f t="shared" si="2"/>
        <v>29170.845000000118</v>
      </c>
      <c r="L9">
        <f>SUMIFS('Daily Log'!$K:$K,'Daily Log'!$B:$B,A9,'Daily Log'!$A:$A,"&gt;="&amp;$B$3,'Daily Log'!$A:$A,"&lt;="&amp;$B$4)</f>
        <v>0</v>
      </c>
      <c r="M9">
        <f>SUMIFS('Daily Log'!$G:$G,'Daily Log'!$B:$B,A9,'Daily Log'!$A:$A,"&gt;="&amp;$B$3,'Daily Log'!$A:$A,"&lt;="&amp;$B$4)</f>
        <v>0</v>
      </c>
      <c r="N9">
        <f>SUMIFS('Daily Log'!$H:$H,'Daily Log'!$B:$B,A9,'Daily Log'!$A:$A,"&gt;="&amp;$B$3,'Daily Log'!$A:$A,"&lt;="&amp;$B$4)</f>
        <v>0</v>
      </c>
      <c r="O9">
        <f>SUMIFS('Daily Log'!$I:$I,'Daily Log'!$B:$B,A9,'Daily Log'!$A:$A,"&gt;="&amp;$B$3,'Daily Log'!$A:$A,"&lt;="&amp;$B$4)</f>
        <v>0</v>
      </c>
      <c r="P9">
        <f>SUMIFS('Daily Log'!$J:$J,'Daily Log'!$B:$B,A9,'Daily Log'!$A:$A,"&gt;="&amp;$B$3,'Daily Log'!$A:$A,"&lt;="&amp;$B$4)</f>
        <v>0</v>
      </c>
      <c r="Q9">
        <f>SUMIFS('Daily Log'!$L:$L,'Daily Log'!$B:$B,A9,'Daily Log'!$A:$A,"&gt;="&amp;$B$3,'Daily Log'!$A:$A,"&lt;="&amp;$B$4)</f>
        <v>0</v>
      </c>
      <c r="R9">
        <f>SUMIFS('Daily Log'!$M:$M,'Daily Log'!$B:$B,A9,'Daily Log'!$A:$A,"&gt;="&amp;$B$3,'Daily Log'!$A:$A,"&lt;="&amp;$B$4)</f>
        <v>0</v>
      </c>
      <c r="S9">
        <f>SUMIFS('Daily Log'!$N:$N,'Daily Log'!$B:$B,A9,'Daily Log'!$A:$A,"&gt;="&amp;$B$3,'Daily Log'!$A:$A,"&lt;="&amp;$B$4)</f>
        <v>0</v>
      </c>
      <c r="T9" s="299">
        <f>N(L9)*IFERROR(_xlfn.XLOOKUP(A9,'RE Rates'!$A:$A,'RE Rates'!$F:$F,0),0)+N(M9)*IFERROR(_xlfn.XLOOKUP(A9,'RE Rates'!$A:$A,'RE Rates'!$G:$G,0),0)+N(N9)*IFERROR(_xlfn.XLOOKUP(A9,'RE Rates'!$A:$A,'RE Rates'!$H:$H,0),0)+N(O9)*IFERROR(_xlfn.XLOOKUP(A9,'RE Rates'!$A:$A,'RE Rates'!$I:$I,0),0)+N(P9)*IFERROR(_xlfn.XLOOKUP(A9,'RE Rates'!$A:$A,'RE Rates'!$J:$J,0),0)+N(Q9)*IFERROR(_xlfn.XLOOKUP(A9,'RE Rates'!$A:$A,'RE Rates'!$K:$K,0),0)+N(R9)*IFERROR(_xlfn.XLOOKUP(A9,'RE Rates'!$A:$A,'RE Rates'!$L:$L,0),0)+N(S9)*IFERROR(_xlfn.XLOOKUP(A9,'RE Rates'!$A:$A,'RE Rates'!$M:$M,0),0)</f>
        <v>0</v>
      </c>
      <c r="U9" s="299">
        <f t="shared" si="3"/>
        <v>55999.019999999749</v>
      </c>
      <c r="V9">
        <f t="shared" si="4"/>
        <v>0</v>
      </c>
      <c r="W9" s="299">
        <f t="shared" si="5"/>
        <v>255.75</v>
      </c>
      <c r="X9" s="299">
        <f t="shared" si="6"/>
        <v>0</v>
      </c>
      <c r="Y9" s="299">
        <f>N(U9) + N(X9)</f>
        <v>55999.019999999749</v>
      </c>
    </row>
    <row r="10" spans="1:26" x14ac:dyDescent="0.35">
      <c r="A10" s="292" t="s">
        <v>271</v>
      </c>
      <c r="B10">
        <f>SUMIFS('Daily Log'!$C:$C,'Daily Log'!$B:$B,A10,'Daily Log'!$A:$A,"&gt;="&amp;$B$3,'Daily Log'!$A:$A,"&lt;="&amp;$B$4)</f>
        <v>3.3000000000001801</v>
      </c>
      <c r="C10">
        <f>SUMIFS('Daily Log'!$D:$D,'Daily Log'!$B:$B,A10,'Daily Log'!$A:$A,"&gt;="&amp;$B$3,'Daily Log'!$A:$A,"&lt;="&amp;$B$4)</f>
        <v>30</v>
      </c>
      <c r="D10">
        <f t="shared" si="0"/>
        <v>33.300000000000182</v>
      </c>
      <c r="E10" s="299">
        <f>IFERROR(_xlfn.XLOOKUP(A10,'RE Rates'!$A:$A,'RE Rates'!$B:$B,0),0)</f>
        <v>179.3</v>
      </c>
      <c r="F10" s="300"/>
      <c r="G10" s="300"/>
      <c r="H10" s="300"/>
      <c r="I10" s="299">
        <f>IFERROR(_xlfn.XLOOKUP(A10,'RE Rates'!$A:$A,'RE Rates'!$E:$E,0),0)</f>
        <v>107.8</v>
      </c>
      <c r="J10" s="299">
        <f t="shared" si="1"/>
        <v>591.69000000003234</v>
      </c>
      <c r="K10" s="299">
        <f t="shared" si="2"/>
        <v>3234</v>
      </c>
      <c r="L10">
        <f>SUMIFS('Daily Log'!$K:$K,'Daily Log'!$B:$B,A10,'Daily Log'!$A:$A,"&gt;="&amp;$B$3,'Daily Log'!$A:$A,"&lt;="&amp;$B$4)</f>
        <v>0</v>
      </c>
      <c r="M10">
        <f>SUMIFS('Daily Log'!$G:$G,'Daily Log'!$B:$B,A10,'Daily Log'!$A:$A,"&gt;="&amp;$B$3,'Daily Log'!$A:$A,"&lt;="&amp;$B$4)</f>
        <v>0</v>
      </c>
      <c r="N10">
        <f>SUMIFS('Daily Log'!$H:$H,'Daily Log'!$B:$B,A10,'Daily Log'!$A:$A,"&gt;="&amp;$B$3,'Daily Log'!$A:$A,"&lt;="&amp;$B$4)</f>
        <v>0</v>
      </c>
      <c r="O10">
        <f>SUMIFS('Daily Log'!$I:$I,'Daily Log'!$B:$B,A10,'Daily Log'!$A:$A,"&gt;="&amp;$B$3,'Daily Log'!$A:$A,"&lt;="&amp;$B$4)</f>
        <v>0</v>
      </c>
      <c r="P10">
        <f>SUMIFS('Daily Log'!$J:$J,'Daily Log'!$B:$B,A10,'Daily Log'!$A:$A,"&gt;="&amp;$B$3,'Daily Log'!$A:$A,"&lt;="&amp;$B$4)</f>
        <v>0</v>
      </c>
      <c r="Q10">
        <f>SUMIFS('Daily Log'!$L:$L,'Daily Log'!$B:$B,A10,'Daily Log'!$A:$A,"&gt;="&amp;$B$3,'Daily Log'!$A:$A,"&lt;="&amp;$B$4)</f>
        <v>0</v>
      </c>
      <c r="R10">
        <f>SUMIFS('Daily Log'!$M:$M,'Daily Log'!$B:$B,A10,'Daily Log'!$A:$A,"&gt;="&amp;$B$3,'Daily Log'!$A:$A,"&lt;="&amp;$B$4)</f>
        <v>0</v>
      </c>
      <c r="S10">
        <f>SUMIFS('Daily Log'!$N:$N,'Daily Log'!$B:$B,A10,'Daily Log'!$A:$A,"&gt;="&amp;$B$3,'Daily Log'!$A:$A,"&lt;="&amp;$B$4)</f>
        <v>0</v>
      </c>
      <c r="T10" s="299">
        <f>N(L10)*IFERROR(_xlfn.XLOOKUP(A10,'RE Rates'!$A:$A,'RE Rates'!$F:$F,0),0)+N(M10)*IFERROR(_xlfn.XLOOKUP(A10,'RE Rates'!$A:$A,'RE Rates'!$G:$G,0),0)+N(N10)*IFERROR(_xlfn.XLOOKUP(A10,'RE Rates'!$A:$A,'RE Rates'!$H:$H,0),0)+N(O10)*IFERROR(_xlfn.XLOOKUP(A10,'RE Rates'!$A:$A,'RE Rates'!$I:$I,0),0)+N(P10)*IFERROR(_xlfn.XLOOKUP(A10,'RE Rates'!$A:$A,'RE Rates'!$J:$J,0),0)+N(Q10)*IFERROR(_xlfn.XLOOKUP(A10,'RE Rates'!$A:$A,'RE Rates'!$K:$K,0),0)+N(R10)*IFERROR(_xlfn.XLOOKUP(A10,'RE Rates'!$A:$A,'RE Rates'!$L:$L,0),0)+N(S10)*IFERROR(_xlfn.XLOOKUP(A10,'RE Rates'!$A:$A,'RE Rates'!$M:$M,0),0)</f>
        <v>0</v>
      </c>
      <c r="U10" s="299">
        <f t="shared" si="3"/>
        <v>3825.6900000000323</v>
      </c>
      <c r="V10">
        <f t="shared" si="4"/>
        <v>166.7</v>
      </c>
      <c r="W10" s="299">
        <f t="shared" si="5"/>
        <v>179.3</v>
      </c>
      <c r="X10" s="301">
        <f t="shared" si="6"/>
        <v>29889.31</v>
      </c>
      <c r="Y10" s="302">
        <f>N(U10) + N(K10)</f>
        <v>7059.6900000000323</v>
      </c>
      <c r="Z10" t="s">
        <v>272</v>
      </c>
    </row>
    <row r="11" spans="1:26" x14ac:dyDescent="0.35">
      <c r="A11" s="292" t="s">
        <v>273</v>
      </c>
      <c r="B11">
        <f>SUMIFS('Daily Log'!$C:$C,'Daily Log'!$B:$B,A11,'Daily Log'!$A:$A,"&gt;="&amp;$B$3,'Daily Log'!$A:$A,"&lt;="&amp;$B$4)</f>
        <v>145.1000000000007</v>
      </c>
      <c r="C11">
        <f>SUMIFS('Daily Log'!$D:$D,'Daily Log'!$B:$B,A11,'Daily Log'!$A:$A,"&gt;="&amp;$B$3,'Daily Log'!$A:$A,"&lt;="&amp;$B$4)</f>
        <v>114.89999999999927</v>
      </c>
      <c r="D11">
        <f t="shared" si="0"/>
        <v>260</v>
      </c>
      <c r="E11" s="299">
        <f>IFERROR(_xlfn.XLOOKUP(A11,'RE Rates'!$A:$A,'RE Rates'!$B:$B,0),0)</f>
        <v>179.3</v>
      </c>
      <c r="F11" s="300"/>
      <c r="G11" s="300"/>
      <c r="H11" s="300"/>
      <c r="I11" s="299">
        <f>IFERROR(_xlfn.XLOOKUP(A11,'RE Rates'!$A:$A,'RE Rates'!$E:$E,0),0)</f>
        <v>107.8</v>
      </c>
      <c r="J11" s="299">
        <f t="shared" si="1"/>
        <v>26016.430000000128</v>
      </c>
      <c r="K11" s="299">
        <f t="shared" si="2"/>
        <v>12386.219999999921</v>
      </c>
      <c r="L11">
        <f>SUMIFS('Daily Log'!$K:$K,'Daily Log'!$B:$B,A11,'Daily Log'!$A:$A,"&gt;="&amp;$B$3,'Daily Log'!$A:$A,"&lt;="&amp;$B$4)</f>
        <v>0</v>
      </c>
      <c r="M11">
        <f>SUMIFS('Daily Log'!$G:$G,'Daily Log'!$B:$B,A11,'Daily Log'!$A:$A,"&gt;="&amp;$B$3,'Daily Log'!$A:$A,"&lt;="&amp;$B$4)</f>
        <v>0</v>
      </c>
      <c r="N11">
        <f>SUMIFS('Daily Log'!$H:$H,'Daily Log'!$B:$B,A11,'Daily Log'!$A:$A,"&gt;="&amp;$B$3,'Daily Log'!$A:$A,"&lt;="&amp;$B$4)</f>
        <v>0</v>
      </c>
      <c r="O11">
        <f>SUMIFS('Daily Log'!$I:$I,'Daily Log'!$B:$B,A11,'Daily Log'!$A:$A,"&gt;="&amp;$B$3,'Daily Log'!$A:$A,"&lt;="&amp;$B$4)</f>
        <v>0</v>
      </c>
      <c r="P11">
        <f>SUMIFS('Daily Log'!$J:$J,'Daily Log'!$B:$B,A11,'Daily Log'!$A:$A,"&gt;="&amp;$B$3,'Daily Log'!$A:$A,"&lt;="&amp;$B$4)</f>
        <v>0</v>
      </c>
      <c r="Q11">
        <f>SUMIFS('Daily Log'!$L:$L,'Daily Log'!$B:$B,A11,'Daily Log'!$A:$A,"&gt;="&amp;$B$3,'Daily Log'!$A:$A,"&lt;="&amp;$B$4)</f>
        <v>0</v>
      </c>
      <c r="R11">
        <f>SUMIFS('Daily Log'!$M:$M,'Daily Log'!$B:$B,A11,'Daily Log'!$A:$A,"&gt;="&amp;$B$3,'Daily Log'!$A:$A,"&lt;="&amp;$B$4)</f>
        <v>0</v>
      </c>
      <c r="S11">
        <f>SUMIFS('Daily Log'!$N:$N,'Daily Log'!$B:$B,A11,'Daily Log'!$A:$A,"&gt;="&amp;$B$3,'Daily Log'!$A:$A,"&lt;="&amp;$B$4)</f>
        <v>0</v>
      </c>
      <c r="T11" s="299">
        <f>N(L11)*IFERROR(_xlfn.XLOOKUP(A11,'RE Rates'!$A:$A,'RE Rates'!$F:$F,0),0)+N(M11)*IFERROR(_xlfn.XLOOKUP(A11,'RE Rates'!$A:$A,'RE Rates'!$G:$G,0),0)+N(N11)*IFERROR(_xlfn.XLOOKUP(A11,'RE Rates'!$A:$A,'RE Rates'!$H:$H,0),0)+N(O11)*IFERROR(_xlfn.XLOOKUP(A11,'RE Rates'!$A:$A,'RE Rates'!$I:$I,0),0)+N(P11)*IFERROR(_xlfn.XLOOKUP(A11,'RE Rates'!$A:$A,'RE Rates'!$J:$J,0),0)+N(Q11)*IFERROR(_xlfn.XLOOKUP(A11,'RE Rates'!$A:$A,'RE Rates'!$K:$K,0),0)+N(R11)*IFERROR(_xlfn.XLOOKUP(A11,'RE Rates'!$A:$A,'RE Rates'!$L:$L,0),0)+N(S11)*IFERROR(_xlfn.XLOOKUP(A11,'RE Rates'!$A:$A,'RE Rates'!$M:$M,0),0)</f>
        <v>0</v>
      </c>
      <c r="U11" s="299">
        <f t="shared" si="3"/>
        <v>38402.650000000052</v>
      </c>
      <c r="V11">
        <f t="shared" si="4"/>
        <v>0</v>
      </c>
      <c r="W11" s="299">
        <f t="shared" si="5"/>
        <v>179.3</v>
      </c>
      <c r="X11" s="299">
        <f t="shared" si="6"/>
        <v>0</v>
      </c>
      <c r="Y11" s="299">
        <f t="shared" ref="Y11:Y16" si="7">N(U11) + N(X11)</f>
        <v>38402.650000000052</v>
      </c>
    </row>
    <row r="12" spans="1:26" x14ac:dyDescent="0.35">
      <c r="A12" s="292" t="s">
        <v>182</v>
      </c>
      <c r="B12">
        <f>SUMIFS('Daily Log'!$C:$C,'Daily Log'!$B:$B,A12,'Daily Log'!$A:$A,"&gt;="&amp;$B$3,'Daily Log'!$A:$A,"&lt;="&amp;$B$4)</f>
        <v>38.199999999999811</v>
      </c>
      <c r="C12">
        <f>SUMIFS('Daily Log'!$D:$D,'Daily Log'!$B:$B,A12,'Daily Log'!$A:$A,"&gt;="&amp;$B$3,'Daily Log'!$A:$A,"&lt;="&amp;$B$4)</f>
        <v>259.19999999999976</v>
      </c>
      <c r="D12">
        <f t="shared" si="0"/>
        <v>297.39999999999958</v>
      </c>
      <c r="E12" s="299">
        <f>IFERROR(_xlfn.XLOOKUP(A12,'RE Rates'!$A:$A,'RE Rates'!$B:$B,0),0)</f>
        <v>173.8</v>
      </c>
      <c r="F12" s="300"/>
      <c r="G12" s="300"/>
      <c r="H12" s="300"/>
      <c r="I12" s="299">
        <f>IFERROR(_xlfn.XLOOKUP(A12,'RE Rates'!$A:$A,'RE Rates'!$E:$E,0),0)</f>
        <v>104.5</v>
      </c>
      <c r="J12" s="299">
        <f t="shared" si="1"/>
        <v>6639.159999999968</v>
      </c>
      <c r="K12" s="299">
        <f t="shared" si="2"/>
        <v>27086.399999999976</v>
      </c>
      <c r="L12">
        <f>SUMIFS('Daily Log'!$K:$K,'Daily Log'!$B:$B,A12,'Daily Log'!$A:$A,"&gt;="&amp;$B$3,'Daily Log'!$A:$A,"&lt;="&amp;$B$4)</f>
        <v>0</v>
      </c>
      <c r="M12">
        <f>SUMIFS('Daily Log'!$G:$G,'Daily Log'!$B:$B,A12,'Daily Log'!$A:$A,"&gt;="&amp;$B$3,'Daily Log'!$A:$A,"&lt;="&amp;$B$4)</f>
        <v>0</v>
      </c>
      <c r="N12">
        <f>SUMIFS('Daily Log'!$H:$H,'Daily Log'!$B:$B,A12,'Daily Log'!$A:$A,"&gt;="&amp;$B$3,'Daily Log'!$A:$A,"&lt;="&amp;$B$4)</f>
        <v>0</v>
      </c>
      <c r="O12">
        <f>SUMIFS('Daily Log'!$I:$I,'Daily Log'!$B:$B,A12,'Daily Log'!$A:$A,"&gt;="&amp;$B$3,'Daily Log'!$A:$A,"&lt;="&amp;$B$4)</f>
        <v>0</v>
      </c>
      <c r="P12">
        <f>SUMIFS('Daily Log'!$J:$J,'Daily Log'!$B:$B,A12,'Daily Log'!$A:$A,"&gt;="&amp;$B$3,'Daily Log'!$A:$A,"&lt;="&amp;$B$4)</f>
        <v>0</v>
      </c>
      <c r="Q12">
        <f>SUMIFS('Daily Log'!$L:$L,'Daily Log'!$B:$B,A12,'Daily Log'!$A:$A,"&gt;="&amp;$B$3,'Daily Log'!$A:$A,"&lt;="&amp;$B$4)</f>
        <v>0</v>
      </c>
      <c r="R12">
        <f>SUMIFS('Daily Log'!$M:$M,'Daily Log'!$B:$B,A12,'Daily Log'!$A:$A,"&gt;="&amp;$B$3,'Daily Log'!$A:$A,"&lt;="&amp;$B$4)</f>
        <v>0</v>
      </c>
      <c r="S12">
        <f>SUMIFS('Daily Log'!$N:$N,'Daily Log'!$B:$B,A12,'Daily Log'!$A:$A,"&gt;="&amp;$B$3,'Daily Log'!$A:$A,"&lt;="&amp;$B$4)</f>
        <v>0</v>
      </c>
      <c r="T12" s="299">
        <f>N(L12)*IFERROR(_xlfn.XLOOKUP(A12,'RE Rates'!$A:$A,'RE Rates'!$F:$F,0),0)+N(M12)*IFERROR(_xlfn.XLOOKUP(A12,'RE Rates'!$A:$A,'RE Rates'!$G:$G,0),0)+N(N12)*IFERROR(_xlfn.XLOOKUP(A12,'RE Rates'!$A:$A,'RE Rates'!$H:$H,0),0)+N(O12)*IFERROR(_xlfn.XLOOKUP(A12,'RE Rates'!$A:$A,'RE Rates'!$I:$I,0),0)+N(P12)*IFERROR(_xlfn.XLOOKUP(A12,'RE Rates'!$A:$A,'RE Rates'!$J:$J,0),0)+N(Q12)*IFERROR(_xlfn.XLOOKUP(A12,'RE Rates'!$A:$A,'RE Rates'!$K:$K,0),0)+N(R12)*IFERROR(_xlfn.XLOOKUP(A12,'RE Rates'!$A:$A,'RE Rates'!$L:$L,0),0)+N(S12)*IFERROR(_xlfn.XLOOKUP(A12,'RE Rates'!$A:$A,'RE Rates'!$M:$M,0),0)</f>
        <v>0</v>
      </c>
      <c r="U12" s="299">
        <f t="shared" si="3"/>
        <v>33725.559999999947</v>
      </c>
      <c r="V12">
        <f t="shared" si="4"/>
        <v>0</v>
      </c>
      <c r="W12" s="299">
        <f t="shared" si="5"/>
        <v>173.8</v>
      </c>
      <c r="X12" s="299">
        <f t="shared" si="6"/>
        <v>0</v>
      </c>
      <c r="Y12" s="299">
        <f t="shared" si="7"/>
        <v>33725.559999999947</v>
      </c>
    </row>
    <row r="13" spans="1:26" ht="15.75" customHeight="1" x14ac:dyDescent="0.35">
      <c r="A13" s="292" t="s">
        <v>185</v>
      </c>
      <c r="B13">
        <f>SUMIFS('Daily Log'!$C:$C,'Daily Log'!$B:$B,A13,'Daily Log'!$A:$A,"&gt;="&amp;$B$3,'Daily Log'!$A:$A,"&lt;="&amp;$B$4)</f>
        <v>183</v>
      </c>
      <c r="C13">
        <f>SUMIFS('Daily Log'!$D:$D,'Daily Log'!$B:$B,A13,'Daily Log'!$A:$A,"&gt;="&amp;$B$3,'Daily Log'!$A:$A,"&lt;="&amp;$B$4)</f>
        <v>121</v>
      </c>
      <c r="D13">
        <f t="shared" si="0"/>
        <v>304</v>
      </c>
      <c r="E13" s="299">
        <f>IFERROR(_xlfn.XLOOKUP(A13,'RE Rates'!$A:$A,'RE Rates'!$B:$B,0),0)</f>
        <v>112.75</v>
      </c>
      <c r="F13" s="300"/>
      <c r="G13" s="300"/>
      <c r="H13" s="300"/>
      <c r="I13" s="299">
        <f>IFERROR(_xlfn.XLOOKUP(A13,'RE Rates'!$A:$A,'RE Rates'!$E:$E,0),0)</f>
        <v>67.650000000000006</v>
      </c>
      <c r="J13" s="299">
        <f t="shared" si="1"/>
        <v>20633.25</v>
      </c>
      <c r="K13" s="299">
        <f t="shared" si="2"/>
        <v>8185.6500000000005</v>
      </c>
      <c r="L13">
        <f>SUMIFS('Daily Log'!$K:$K,'Daily Log'!$B:$B,A13,'Daily Log'!$A:$A,"&gt;="&amp;$B$3,'Daily Log'!$A:$A,"&lt;="&amp;$B$4)</f>
        <v>0</v>
      </c>
      <c r="M13">
        <f>SUMIFS('Daily Log'!$G:$G,'Daily Log'!$B:$B,A13,'Daily Log'!$A:$A,"&gt;="&amp;$B$3,'Daily Log'!$A:$A,"&lt;="&amp;$B$4)</f>
        <v>0</v>
      </c>
      <c r="N13">
        <f>SUMIFS('Daily Log'!$H:$H,'Daily Log'!$B:$B,A13,'Daily Log'!$A:$A,"&gt;="&amp;$B$3,'Daily Log'!$A:$A,"&lt;="&amp;$B$4)</f>
        <v>0</v>
      </c>
      <c r="O13">
        <f>SUMIFS('Daily Log'!$I:$I,'Daily Log'!$B:$B,A13,'Daily Log'!$A:$A,"&gt;="&amp;$B$3,'Daily Log'!$A:$A,"&lt;="&amp;$B$4)</f>
        <v>0</v>
      </c>
      <c r="P13">
        <f>SUMIFS('Daily Log'!$J:$J,'Daily Log'!$B:$B,A13,'Daily Log'!$A:$A,"&gt;="&amp;$B$3,'Daily Log'!$A:$A,"&lt;="&amp;$B$4)</f>
        <v>0</v>
      </c>
      <c r="Q13">
        <f>SUMIFS('Daily Log'!$L:$L,'Daily Log'!$B:$B,A13,'Daily Log'!$A:$A,"&gt;="&amp;$B$3,'Daily Log'!$A:$A,"&lt;="&amp;$B$4)</f>
        <v>0</v>
      </c>
      <c r="R13">
        <f>SUMIFS('Daily Log'!$M:$M,'Daily Log'!$B:$B,A13,'Daily Log'!$A:$A,"&gt;="&amp;$B$3,'Daily Log'!$A:$A,"&lt;="&amp;$B$4)</f>
        <v>0</v>
      </c>
      <c r="S13">
        <f>SUMIFS('Daily Log'!$N:$N,'Daily Log'!$B:$B,A13,'Daily Log'!$A:$A,"&gt;="&amp;$B$3,'Daily Log'!$A:$A,"&lt;="&amp;$B$4)</f>
        <v>0</v>
      </c>
      <c r="T13" s="299">
        <f>N(L13)*IFERROR(_xlfn.XLOOKUP(A13,'RE Rates'!$A:$A,'RE Rates'!$F:$F,0),0)+N(M13)*IFERROR(_xlfn.XLOOKUP(A13,'RE Rates'!$A:$A,'RE Rates'!$G:$G,0),0)+N(N13)*IFERROR(_xlfn.XLOOKUP(A13,'RE Rates'!$A:$A,'RE Rates'!$H:$H,0),0)+N(O13)*IFERROR(_xlfn.XLOOKUP(A13,'RE Rates'!$A:$A,'RE Rates'!$I:$I,0),0)+N(P13)*IFERROR(_xlfn.XLOOKUP(A13,'RE Rates'!$A:$A,'RE Rates'!$J:$J,0),0)+N(Q13)*IFERROR(_xlfn.XLOOKUP(A13,'RE Rates'!$A:$A,'RE Rates'!$K:$K,0),0)+N(R13)*IFERROR(_xlfn.XLOOKUP(A13,'RE Rates'!$A:$A,'RE Rates'!$L:$L,0),0)+N(S13)*IFERROR(_xlfn.XLOOKUP(A13,'RE Rates'!$A:$A,'RE Rates'!$M:$M,0),0)</f>
        <v>0</v>
      </c>
      <c r="U13" s="299">
        <f t="shared" si="3"/>
        <v>28818.9</v>
      </c>
      <c r="V13">
        <f t="shared" si="4"/>
        <v>0</v>
      </c>
      <c r="W13" s="299">
        <f t="shared" si="5"/>
        <v>112.75</v>
      </c>
      <c r="X13" s="299">
        <f t="shared" si="6"/>
        <v>0</v>
      </c>
      <c r="Y13" s="299">
        <f t="shared" si="7"/>
        <v>28818.9</v>
      </c>
    </row>
    <row r="14" spans="1:26" x14ac:dyDescent="0.35">
      <c r="A14" s="292" t="s">
        <v>188</v>
      </c>
      <c r="B14">
        <f>SUMIFS('Daily Log'!$C:$C,'Daily Log'!$B:$B,A14,'Daily Log'!$A:$A,"&gt;="&amp;$B$3,'Daily Log'!$A:$A,"&lt;="&amp;$B$4)</f>
        <v>308</v>
      </c>
      <c r="C14">
        <f>SUMIFS('Daily Log'!$D:$D,'Daily Log'!$B:$B,A14,'Daily Log'!$A:$A,"&gt;="&amp;$B$3,'Daily Log'!$A:$A,"&lt;="&amp;$B$4)</f>
        <v>0</v>
      </c>
      <c r="D14">
        <f t="shared" si="0"/>
        <v>308</v>
      </c>
      <c r="E14" s="299">
        <f>IFERROR(_xlfn.XLOOKUP(A14,'RE Rates'!$A:$A,'RE Rates'!$B:$B,0),0)</f>
        <v>29.15</v>
      </c>
      <c r="F14" s="300"/>
      <c r="G14" s="300"/>
      <c r="H14" s="300"/>
      <c r="I14" s="299">
        <f>IFERROR(_xlfn.XLOOKUP(A14,'RE Rates'!$A:$A,'RE Rates'!$E:$E,0),0)</f>
        <v>17.600000000000001</v>
      </c>
      <c r="J14" s="299">
        <f t="shared" si="1"/>
        <v>8978.1999999999989</v>
      </c>
      <c r="K14" s="299">
        <f t="shared" si="2"/>
        <v>0</v>
      </c>
      <c r="L14">
        <f>SUMIFS('Daily Log'!$K:$K,'Daily Log'!$B:$B,A14,'Daily Log'!$A:$A,"&gt;="&amp;$B$3,'Daily Log'!$A:$A,"&lt;="&amp;$B$4)</f>
        <v>0</v>
      </c>
      <c r="M14">
        <f>SUMIFS('Daily Log'!$G:$G,'Daily Log'!$B:$B,A14,'Daily Log'!$A:$A,"&gt;="&amp;$B$3,'Daily Log'!$A:$A,"&lt;="&amp;$B$4)</f>
        <v>0</v>
      </c>
      <c r="N14">
        <f>SUMIFS('Daily Log'!$H:$H,'Daily Log'!$B:$B,A14,'Daily Log'!$A:$A,"&gt;="&amp;$B$3,'Daily Log'!$A:$A,"&lt;="&amp;$B$4)</f>
        <v>0</v>
      </c>
      <c r="O14">
        <f>SUMIFS('Daily Log'!$I:$I,'Daily Log'!$B:$B,A14,'Daily Log'!$A:$A,"&gt;="&amp;$B$3,'Daily Log'!$A:$A,"&lt;="&amp;$B$4)</f>
        <v>0</v>
      </c>
      <c r="P14">
        <f>SUMIFS('Daily Log'!$J:$J,'Daily Log'!$B:$B,A14,'Daily Log'!$A:$A,"&gt;="&amp;$B$3,'Daily Log'!$A:$A,"&lt;="&amp;$B$4)</f>
        <v>0</v>
      </c>
      <c r="Q14">
        <f>SUMIFS('Daily Log'!$L:$L,'Daily Log'!$B:$B,A14,'Daily Log'!$A:$A,"&gt;="&amp;$B$3,'Daily Log'!$A:$A,"&lt;="&amp;$B$4)</f>
        <v>0</v>
      </c>
      <c r="R14">
        <f>SUMIFS('Daily Log'!$M:$M,'Daily Log'!$B:$B,A14,'Daily Log'!$A:$A,"&gt;="&amp;$B$3,'Daily Log'!$A:$A,"&lt;="&amp;$B$4)</f>
        <v>0</v>
      </c>
      <c r="S14">
        <f>SUMIFS('Daily Log'!$N:$N,'Daily Log'!$B:$B,A14,'Daily Log'!$A:$A,"&gt;="&amp;$B$3,'Daily Log'!$A:$A,"&lt;="&amp;$B$4)</f>
        <v>0</v>
      </c>
      <c r="T14" s="299">
        <f>N(L14)*IFERROR(_xlfn.XLOOKUP(A14,'RE Rates'!$A:$A,'RE Rates'!$F:$F,0),0)+N(M14)*IFERROR(_xlfn.XLOOKUP(A14,'RE Rates'!$A:$A,'RE Rates'!$G:$G,0),0)+N(N14)*IFERROR(_xlfn.XLOOKUP(A14,'RE Rates'!$A:$A,'RE Rates'!$H:$H,0),0)+N(O14)*IFERROR(_xlfn.XLOOKUP(A14,'RE Rates'!$A:$A,'RE Rates'!$I:$I,0),0)+N(P14)*IFERROR(_xlfn.XLOOKUP(A14,'RE Rates'!$A:$A,'RE Rates'!$J:$J,0),0)+N(Q14)*IFERROR(_xlfn.XLOOKUP(A14,'RE Rates'!$A:$A,'RE Rates'!$K:$K,0),0)+N(R14)*IFERROR(_xlfn.XLOOKUP(A14,'RE Rates'!$A:$A,'RE Rates'!$L:$L,0),0)+N(S14)*IFERROR(_xlfn.XLOOKUP(A14,'RE Rates'!$A:$A,'RE Rates'!$M:$M,0),0)</f>
        <v>0</v>
      </c>
      <c r="U14" s="299">
        <f t="shared" si="3"/>
        <v>8978.1999999999989</v>
      </c>
      <c r="V14">
        <f t="shared" si="4"/>
        <v>0</v>
      </c>
      <c r="W14" s="299">
        <f t="shared" si="5"/>
        <v>29.15</v>
      </c>
      <c r="X14" s="299">
        <f t="shared" si="6"/>
        <v>0</v>
      </c>
      <c r="Y14" s="299">
        <f t="shared" si="7"/>
        <v>8978.1999999999989</v>
      </c>
    </row>
    <row r="15" spans="1:26" x14ac:dyDescent="0.35">
      <c r="A15" s="292" t="s">
        <v>191</v>
      </c>
      <c r="B15">
        <f>SUMIFS('Daily Log'!$C:$C,'Daily Log'!$B:$B,A15,'Daily Log'!$A:$A,"&gt;="&amp;$B$3,'Daily Log'!$A:$A,"&lt;="&amp;$B$4)</f>
        <v>308</v>
      </c>
      <c r="C15">
        <f>SUMIFS('Daily Log'!$D:$D,'Daily Log'!$B:$B,A15,'Daily Log'!$A:$A,"&gt;="&amp;$B$3,'Daily Log'!$A:$A,"&lt;="&amp;$B$4)</f>
        <v>0</v>
      </c>
      <c r="D15">
        <f t="shared" si="0"/>
        <v>308</v>
      </c>
      <c r="E15" s="299">
        <f>IFERROR(_xlfn.XLOOKUP(A15,'RE Rates'!$A:$A,'RE Rates'!$B:$B,0),0)</f>
        <v>29.15</v>
      </c>
      <c r="F15" s="300"/>
      <c r="G15" s="300"/>
      <c r="H15" s="300"/>
      <c r="I15" s="299">
        <f>IFERROR(_xlfn.XLOOKUP(A15,'RE Rates'!$A:$A,'RE Rates'!$E:$E,0),0)</f>
        <v>17.600000000000001</v>
      </c>
      <c r="J15" s="299">
        <f t="shared" si="1"/>
        <v>8978.1999999999989</v>
      </c>
      <c r="K15" s="299">
        <f t="shared" si="2"/>
        <v>0</v>
      </c>
      <c r="L15">
        <f>SUMIFS('Daily Log'!$K:$K,'Daily Log'!$B:$B,A15,'Daily Log'!$A:$A,"&gt;="&amp;$B$3,'Daily Log'!$A:$A,"&lt;="&amp;$B$4)</f>
        <v>0</v>
      </c>
      <c r="M15">
        <f>SUMIFS('Daily Log'!$G:$G,'Daily Log'!$B:$B,A15,'Daily Log'!$A:$A,"&gt;="&amp;$B$3,'Daily Log'!$A:$A,"&lt;="&amp;$B$4)</f>
        <v>0</v>
      </c>
      <c r="N15">
        <f>SUMIFS('Daily Log'!$H:$H,'Daily Log'!$B:$B,A15,'Daily Log'!$A:$A,"&gt;="&amp;$B$3,'Daily Log'!$A:$A,"&lt;="&amp;$B$4)</f>
        <v>0</v>
      </c>
      <c r="O15">
        <f>SUMIFS('Daily Log'!$I:$I,'Daily Log'!$B:$B,A15,'Daily Log'!$A:$A,"&gt;="&amp;$B$3,'Daily Log'!$A:$A,"&lt;="&amp;$B$4)</f>
        <v>0</v>
      </c>
      <c r="P15">
        <f>SUMIFS('Daily Log'!$J:$J,'Daily Log'!$B:$B,A15,'Daily Log'!$A:$A,"&gt;="&amp;$B$3,'Daily Log'!$A:$A,"&lt;="&amp;$B$4)</f>
        <v>0</v>
      </c>
      <c r="Q15">
        <f>SUMIFS('Daily Log'!$L:$L,'Daily Log'!$B:$B,A15,'Daily Log'!$A:$A,"&gt;="&amp;$B$3,'Daily Log'!$A:$A,"&lt;="&amp;$B$4)</f>
        <v>0</v>
      </c>
      <c r="R15">
        <f>SUMIFS('Daily Log'!$M:$M,'Daily Log'!$B:$B,A15,'Daily Log'!$A:$A,"&gt;="&amp;$B$3,'Daily Log'!$A:$A,"&lt;="&amp;$B$4)</f>
        <v>0</v>
      </c>
      <c r="S15">
        <f>SUMIFS('Daily Log'!$N:$N,'Daily Log'!$B:$B,A15,'Daily Log'!$A:$A,"&gt;="&amp;$B$3,'Daily Log'!$A:$A,"&lt;="&amp;$B$4)</f>
        <v>0</v>
      </c>
      <c r="T15" s="299">
        <f>N(L15)*IFERROR(_xlfn.XLOOKUP(A15,'RE Rates'!$A:$A,'RE Rates'!$F:$F,0),0)+N(M15)*IFERROR(_xlfn.XLOOKUP(A15,'RE Rates'!$A:$A,'RE Rates'!$G:$G,0),0)+N(N15)*IFERROR(_xlfn.XLOOKUP(A15,'RE Rates'!$A:$A,'RE Rates'!$H:$H,0),0)+N(O15)*IFERROR(_xlfn.XLOOKUP(A15,'RE Rates'!$A:$A,'RE Rates'!$I:$I,0),0)+N(P15)*IFERROR(_xlfn.XLOOKUP(A15,'RE Rates'!$A:$A,'RE Rates'!$J:$J,0),0)+N(Q15)*IFERROR(_xlfn.XLOOKUP(A15,'RE Rates'!$A:$A,'RE Rates'!$K:$K,0),0)+N(R15)*IFERROR(_xlfn.XLOOKUP(A15,'RE Rates'!$A:$A,'RE Rates'!$L:$L,0),0)+N(S15)*IFERROR(_xlfn.XLOOKUP(A15,'RE Rates'!$A:$A,'RE Rates'!$M:$M,0),0)</f>
        <v>0</v>
      </c>
      <c r="U15" s="299">
        <f t="shared" si="3"/>
        <v>8978.1999999999989</v>
      </c>
      <c r="V15">
        <f t="shared" si="4"/>
        <v>0</v>
      </c>
      <c r="W15" s="299">
        <f t="shared" si="5"/>
        <v>29.15</v>
      </c>
      <c r="X15" s="299">
        <f t="shared" si="6"/>
        <v>0</v>
      </c>
      <c r="Y15" s="299">
        <f t="shared" si="7"/>
        <v>8978.1999999999989</v>
      </c>
    </row>
    <row r="16" spans="1:26" x14ac:dyDescent="0.35">
      <c r="A16" s="292" t="s">
        <v>274</v>
      </c>
      <c r="B16">
        <f>SUMIFS('Daily Log'!$C:$C,'Daily Log'!$B:$B,A16,'Daily Log'!$A:$A,"&gt;="&amp;$B$3,'Daily Log'!$A:$A,"&lt;="&amp;$B$4)</f>
        <v>132</v>
      </c>
      <c r="C16">
        <f>SUMIFS('Daily Log'!$D:$D,'Daily Log'!$B:$B,A16,'Daily Log'!$A:$A,"&gt;="&amp;$B$3,'Daily Log'!$A:$A,"&lt;="&amp;$B$4)</f>
        <v>0</v>
      </c>
      <c r="D16">
        <f t="shared" si="0"/>
        <v>132</v>
      </c>
      <c r="E16" s="299">
        <f>IFERROR(_xlfn.XLOOKUP(A16,'RE Rates'!$A:$A,'RE Rates'!$B:$B,0),0)</f>
        <v>29.15</v>
      </c>
      <c r="F16" s="300"/>
      <c r="G16" s="300"/>
      <c r="H16" s="300"/>
      <c r="I16" s="299">
        <v>29.15</v>
      </c>
      <c r="J16" s="299">
        <f t="shared" si="1"/>
        <v>3847.7999999999997</v>
      </c>
      <c r="K16" s="299">
        <f t="shared" si="2"/>
        <v>0</v>
      </c>
      <c r="L16">
        <f>SUMIFS('Daily Log'!$K:$K,'Daily Log'!$B:$B,A16,'Daily Log'!$A:$A,"&gt;="&amp;$B$3,'Daily Log'!$A:$A,"&lt;="&amp;$B$4)</f>
        <v>0</v>
      </c>
      <c r="M16">
        <f>SUMIFS('Daily Log'!$G:$G,'Daily Log'!$B:$B,A16,'Daily Log'!$A:$A,"&gt;="&amp;$B$3,'Daily Log'!$A:$A,"&lt;="&amp;$B$4)</f>
        <v>0</v>
      </c>
      <c r="N16">
        <f>SUMIFS('Daily Log'!$H:$H,'Daily Log'!$B:$B,A16,'Daily Log'!$A:$A,"&gt;="&amp;$B$3,'Daily Log'!$A:$A,"&lt;="&amp;$B$4)</f>
        <v>0</v>
      </c>
      <c r="O16">
        <f>SUMIFS('Daily Log'!$I:$I,'Daily Log'!$B:$B,A16,'Daily Log'!$A:$A,"&gt;="&amp;$B$3,'Daily Log'!$A:$A,"&lt;="&amp;$B$4)</f>
        <v>0</v>
      </c>
      <c r="P16">
        <f>SUMIFS('Daily Log'!$J:$J,'Daily Log'!$B:$B,A16,'Daily Log'!$A:$A,"&gt;="&amp;$B$3,'Daily Log'!$A:$A,"&lt;="&amp;$B$4)</f>
        <v>0</v>
      </c>
      <c r="Q16">
        <f>SUMIFS('Daily Log'!$L:$L,'Daily Log'!$B:$B,A16,'Daily Log'!$A:$A,"&gt;="&amp;$B$3,'Daily Log'!$A:$A,"&lt;="&amp;$B$4)</f>
        <v>0</v>
      </c>
      <c r="R16">
        <f>SUMIFS('Daily Log'!$M:$M,'Daily Log'!$B:$B,A16,'Daily Log'!$A:$A,"&gt;="&amp;$B$3,'Daily Log'!$A:$A,"&lt;="&amp;$B$4)</f>
        <v>0</v>
      </c>
      <c r="S16">
        <f>SUMIFS('Daily Log'!$N:$N,'Daily Log'!$B:$B,A16,'Daily Log'!$A:$A,"&gt;="&amp;$B$3,'Daily Log'!$A:$A,"&lt;="&amp;$B$4)</f>
        <v>0</v>
      </c>
      <c r="T16" s="299">
        <f>N(L16)*IFERROR(_xlfn.XLOOKUP(A16,'RE Rates'!$A:$A,'RE Rates'!$F:$F,0),0)+N(M16)*IFERROR(_xlfn.XLOOKUP(A16,'RE Rates'!$A:$A,'RE Rates'!$G:$G,0),0)+N(N16)*IFERROR(_xlfn.XLOOKUP(A16,'RE Rates'!$A:$A,'RE Rates'!$H:$H,0),0)+N(O16)*IFERROR(_xlfn.XLOOKUP(A16,'RE Rates'!$A:$A,'RE Rates'!$I:$I,0),0)+N(P16)*IFERROR(_xlfn.XLOOKUP(A16,'RE Rates'!$A:$A,'RE Rates'!$J:$J,0),0)+N(Q16)*IFERROR(_xlfn.XLOOKUP(A16,'RE Rates'!$A:$A,'RE Rates'!$K:$K,0),0)+N(R16)*IFERROR(_xlfn.XLOOKUP(A16,'RE Rates'!$A:$A,'RE Rates'!$L:$L,0),0)+N(S16)*IFERROR(_xlfn.XLOOKUP(A16,'RE Rates'!$A:$A,'RE Rates'!$M:$M,0),0)</f>
        <v>0</v>
      </c>
      <c r="U16" s="299">
        <f t="shared" si="3"/>
        <v>3847.7999999999997</v>
      </c>
      <c r="V16">
        <v>0</v>
      </c>
      <c r="W16" s="299">
        <f t="shared" si="5"/>
        <v>29.15</v>
      </c>
      <c r="X16" s="299">
        <f t="shared" si="6"/>
        <v>0</v>
      </c>
      <c r="Y16" s="299">
        <f t="shared" si="7"/>
        <v>3847.7999999999997</v>
      </c>
    </row>
    <row r="17" spans="1:29" x14ac:dyDescent="0.35">
      <c r="A17" s="292" t="s">
        <v>275</v>
      </c>
      <c r="B17">
        <f>SUMIFS('Daily Log'!$C:$C,'Daily Log'!$B:$B,A17,'Daily Log'!$A:$A,"&gt;="&amp;$B$3,'Daily Log'!$A:$A,"&lt;="&amp;$B$4)</f>
        <v>0</v>
      </c>
      <c r="C17">
        <f>SUMIFS('Daily Log'!$D:$D,'Daily Log'!$B:$B,A17,'Daily Log'!$A:$A,"&gt;="&amp;$B$3,'Daily Log'!$A:$A,"&lt;="&amp;$B$4)</f>
        <v>0</v>
      </c>
      <c r="D17">
        <f t="shared" si="0"/>
        <v>0</v>
      </c>
      <c r="E17" s="299">
        <f>IFERROR(_xlfn.XLOOKUP(A17,'RE Rates'!$A:$A,'RE Rates'!$B:$B,0),0)</f>
        <v>29.15</v>
      </c>
      <c r="F17" s="300"/>
      <c r="G17" s="300"/>
      <c r="H17" s="300"/>
      <c r="I17" s="299">
        <f>IFERROR(_xlfn.XLOOKUP(A17,'RE Rates'!$A:$A,'RE Rates'!$E:$E,0),0)</f>
        <v>17.600000000000001</v>
      </c>
      <c r="J17" s="299">
        <f t="shared" si="1"/>
        <v>0</v>
      </c>
      <c r="K17" s="299">
        <f t="shared" si="2"/>
        <v>0</v>
      </c>
      <c r="L17">
        <f>SUMIFS('Daily Log'!$K:$K,'Daily Log'!$B:$B,A17,'Daily Log'!$A:$A,"&gt;="&amp;$B$3,'Daily Log'!$A:$A,"&lt;="&amp;$B$4)</f>
        <v>0</v>
      </c>
      <c r="M17">
        <f>SUMIFS('Daily Log'!$G:$G,'Daily Log'!$B:$B,A17,'Daily Log'!$A:$A,"&gt;="&amp;$B$3,'Daily Log'!$A:$A,"&lt;="&amp;$B$4)</f>
        <v>0</v>
      </c>
      <c r="N17">
        <f>SUMIFS('Daily Log'!$H:$H,'Daily Log'!$B:$B,A17,'Daily Log'!$A:$A,"&gt;="&amp;$B$3,'Daily Log'!$A:$A,"&lt;="&amp;$B$4)</f>
        <v>0</v>
      </c>
      <c r="O17">
        <f>SUMIFS('Daily Log'!$I:$I,'Daily Log'!$B:$B,A17,'Daily Log'!$A:$A,"&gt;="&amp;$B$3,'Daily Log'!$A:$A,"&lt;="&amp;$B$4)</f>
        <v>0</v>
      </c>
      <c r="P17">
        <f>SUMIFS('Daily Log'!$J:$J,'Daily Log'!$B:$B,A17,'Daily Log'!$A:$A,"&gt;="&amp;$B$3,'Daily Log'!$A:$A,"&lt;="&amp;$B$4)</f>
        <v>0</v>
      </c>
      <c r="Q17">
        <f>SUMIFS('Daily Log'!$L:$L,'Daily Log'!$B:$B,A17,'Daily Log'!$A:$A,"&gt;="&amp;$B$3,'Daily Log'!$A:$A,"&lt;="&amp;$B$4)</f>
        <v>0</v>
      </c>
      <c r="R17">
        <f>SUMIFS('Daily Log'!$M:$M,'Daily Log'!$B:$B,A17,'Daily Log'!$A:$A,"&gt;="&amp;$B$3,'Daily Log'!$A:$A,"&lt;="&amp;$B$4)</f>
        <v>0</v>
      </c>
      <c r="S17">
        <f>SUMIFS('Daily Log'!$N:$N,'Daily Log'!$B:$B,A17,'Daily Log'!$A:$A,"&gt;="&amp;$B$3,'Daily Log'!$A:$A,"&lt;="&amp;$B$4)</f>
        <v>0</v>
      </c>
      <c r="T17" s="299">
        <f>N(L17)*IFERROR(_xlfn.XLOOKUP(A17,'RE Rates'!$A:$A,'RE Rates'!$F:$F,0),0)+N(M17)*IFERROR(_xlfn.XLOOKUP(A17,'RE Rates'!$A:$A,'RE Rates'!$G:$G,0),0)+N(N17)*IFERROR(_xlfn.XLOOKUP(A17,'RE Rates'!$A:$A,'RE Rates'!$H:$H,0),0)+N(O17)*IFERROR(_xlfn.XLOOKUP(A17,'RE Rates'!$A:$A,'RE Rates'!$I:$I,0),0)+N(P17)*IFERROR(_xlfn.XLOOKUP(A17,'RE Rates'!$A:$A,'RE Rates'!$J:$J,0),0)+N(Q17)*IFERROR(_xlfn.XLOOKUP(A17,'RE Rates'!$A:$A,'RE Rates'!$K:$K,0),0)+N(R17)*IFERROR(_xlfn.XLOOKUP(A17,'RE Rates'!$A:$A,'RE Rates'!$L:$L,0),0)+N(S17)*IFERROR(_xlfn.XLOOKUP(A17,'RE Rates'!$A:$A,'RE Rates'!$M:$M,0),0)</f>
        <v>0</v>
      </c>
      <c r="U17" s="299">
        <f t="shared" si="3"/>
        <v>0</v>
      </c>
      <c r="V17" s="300"/>
      <c r="W17" s="299">
        <f t="shared" si="5"/>
        <v>29.15</v>
      </c>
      <c r="X17" s="303"/>
      <c r="Y17" s="299">
        <f t="shared" ref="Y17:Y25" si="8">N(U17)</f>
        <v>0</v>
      </c>
    </row>
    <row r="18" spans="1:29" x14ac:dyDescent="0.35">
      <c r="A18" s="292" t="s">
        <v>276</v>
      </c>
      <c r="B18">
        <f>SUMIFS('Daily Log'!$C:$C,'Daily Log'!$B:$B,A18,'Daily Log'!$A:$A,"&gt;="&amp;$B$3,'Daily Log'!$A:$A,"&lt;="&amp;$B$4)</f>
        <v>301</v>
      </c>
      <c r="C18">
        <f>SUMIFS('Daily Log'!$D:$D,'Daily Log'!$B:$B,A18,'Daily Log'!$A:$A,"&gt;="&amp;$B$3,'Daily Log'!$A:$A,"&lt;="&amp;$B$4)</f>
        <v>0</v>
      </c>
      <c r="D18">
        <f t="shared" si="0"/>
        <v>301</v>
      </c>
      <c r="E18" s="300"/>
      <c r="F18" s="300"/>
      <c r="G18" s="300"/>
      <c r="H18" s="299">
        <f>IFERROR(_xlfn.XLOOKUP(A18,'RE Rates'!$A:$A,'RE Rates'!$D:$D,0),0)</f>
        <v>115.5</v>
      </c>
      <c r="I18" s="299">
        <f>IFERROR(_xlfn.XLOOKUP(A18,'RE Rates'!$A:$A,'RE Rates'!$E:$E,0),0)</f>
        <v>115.5</v>
      </c>
      <c r="J18" s="299">
        <f t="shared" ref="J18:J23" si="9">N(B18)*(N(H18))</f>
        <v>34765.5</v>
      </c>
      <c r="K18" s="299">
        <f t="shared" si="2"/>
        <v>0</v>
      </c>
      <c r="L18">
        <f>SUMIFS('Daily Log'!$K:$K,'Daily Log'!$B:$B,A18,'Daily Log'!$A:$A,"&gt;="&amp;$B$3,'Daily Log'!$A:$A,"&lt;="&amp;$B$4)</f>
        <v>0</v>
      </c>
      <c r="M18">
        <f>SUMIFS('Daily Log'!$G:$G,'Daily Log'!$B:$B,A18,'Daily Log'!$A:$A,"&gt;="&amp;$B$3,'Daily Log'!$A:$A,"&lt;="&amp;$B$4)</f>
        <v>0</v>
      </c>
      <c r="N18">
        <f>SUMIFS('Daily Log'!$H:$H,'Daily Log'!$B:$B,A18,'Daily Log'!$A:$A,"&gt;="&amp;$B$3,'Daily Log'!$A:$A,"&lt;="&amp;$B$4)</f>
        <v>0</v>
      </c>
      <c r="O18">
        <f>SUMIFS('Daily Log'!$I:$I,'Daily Log'!$B:$B,A18,'Daily Log'!$A:$A,"&gt;="&amp;$B$3,'Daily Log'!$A:$A,"&lt;="&amp;$B$4)</f>
        <v>0</v>
      </c>
      <c r="P18">
        <f>SUMIFS('Daily Log'!$J:$J,'Daily Log'!$B:$B,A18,'Daily Log'!$A:$A,"&gt;="&amp;$B$3,'Daily Log'!$A:$A,"&lt;="&amp;$B$4)</f>
        <v>0</v>
      </c>
      <c r="Q18">
        <f>SUMIFS('Daily Log'!$L:$L,'Daily Log'!$B:$B,A18,'Daily Log'!$A:$A,"&gt;="&amp;$B$3,'Daily Log'!$A:$A,"&lt;="&amp;$B$4)</f>
        <v>0</v>
      </c>
      <c r="R18">
        <f>SUMIFS('Daily Log'!$M:$M,'Daily Log'!$B:$B,A18,'Daily Log'!$A:$A,"&gt;="&amp;$B$3,'Daily Log'!$A:$A,"&lt;="&amp;$B$4)</f>
        <v>0</v>
      </c>
      <c r="S18">
        <f>SUMIFS('Daily Log'!$N:$N,'Daily Log'!$B:$B,A18,'Daily Log'!$A:$A,"&gt;="&amp;$B$3,'Daily Log'!$A:$A,"&lt;="&amp;$B$4)</f>
        <v>0</v>
      </c>
      <c r="T18" s="299">
        <f>N(L18)*IFERROR(_xlfn.XLOOKUP(A18,'RE Rates'!$A:$A,'RE Rates'!$F:$F,0),0)+N(M18)*IFERROR(_xlfn.XLOOKUP(A18,'RE Rates'!$A:$A,'RE Rates'!$G:$G,0),0)+N(N18)*IFERROR(_xlfn.XLOOKUP(A18,'RE Rates'!$A:$A,'RE Rates'!$H:$H,0),0)+N(O18)*IFERROR(_xlfn.XLOOKUP(A18,'RE Rates'!$A:$A,'RE Rates'!$I:$I,0),0)+N(P18)*IFERROR(_xlfn.XLOOKUP(A18,'RE Rates'!$A:$A,'RE Rates'!$J:$J,0),0)+N(Q18)*IFERROR(_xlfn.XLOOKUP(A18,'RE Rates'!$A:$A,'RE Rates'!$K:$K,0),0)+N(R18)*IFERROR(_xlfn.XLOOKUP(A18,'RE Rates'!$A:$A,'RE Rates'!$L:$L,0),0)+N(S18)*IFERROR(_xlfn.XLOOKUP(A18,'RE Rates'!$A:$A,'RE Rates'!$M:$M,0),0)</f>
        <v>0</v>
      </c>
      <c r="U18" s="299">
        <f t="shared" si="3"/>
        <v>34765.5</v>
      </c>
      <c r="V18" s="300"/>
      <c r="W18" s="299">
        <f t="shared" si="5"/>
        <v>115.5</v>
      </c>
      <c r="X18" s="303"/>
      <c r="Y18" s="299">
        <f t="shared" si="8"/>
        <v>34765.5</v>
      </c>
    </row>
    <row r="19" spans="1:29" x14ac:dyDescent="0.35">
      <c r="A19" s="292" t="s">
        <v>277</v>
      </c>
      <c r="B19">
        <f>SUMIFS('Daily Log'!$C:$C,'Daily Log'!$B:$B,A19,'Daily Log'!$A:$A,"&gt;="&amp;$B$3,'Daily Log'!$A:$A,"&lt;="&amp;$B$4)</f>
        <v>301</v>
      </c>
      <c r="C19">
        <f>SUMIFS('Daily Log'!$D:$D,'Daily Log'!$B:$B,A19,'Daily Log'!$A:$A,"&gt;="&amp;$B$3,'Daily Log'!$A:$A,"&lt;="&amp;$B$4)</f>
        <v>0</v>
      </c>
      <c r="D19">
        <f t="shared" si="0"/>
        <v>301</v>
      </c>
      <c r="E19" s="300"/>
      <c r="F19" s="300"/>
      <c r="G19" s="300"/>
      <c r="H19" s="299">
        <f>IFERROR(_xlfn.XLOOKUP(A19,'RE Rates'!$A:$A,'RE Rates'!$D:$D,0),0)</f>
        <v>115.5</v>
      </c>
      <c r="I19" s="299">
        <f>IFERROR(_xlfn.XLOOKUP(A19,'RE Rates'!$A:$A,'RE Rates'!$E:$E,0),0)</f>
        <v>115.5</v>
      </c>
      <c r="J19" s="299">
        <f t="shared" si="9"/>
        <v>34765.5</v>
      </c>
      <c r="K19" s="299">
        <f t="shared" si="2"/>
        <v>0</v>
      </c>
      <c r="L19">
        <f>SUMIFS('Daily Log'!$K:$K,'Daily Log'!$B:$B,A19,'Daily Log'!$A:$A,"&gt;="&amp;$B$3,'Daily Log'!$A:$A,"&lt;="&amp;$B$4)</f>
        <v>0</v>
      </c>
      <c r="M19">
        <f>SUMIFS('Daily Log'!$G:$G,'Daily Log'!$B:$B,A19,'Daily Log'!$A:$A,"&gt;="&amp;$B$3,'Daily Log'!$A:$A,"&lt;="&amp;$B$4)</f>
        <v>0</v>
      </c>
      <c r="N19">
        <f>SUMIFS('Daily Log'!$H:$H,'Daily Log'!$B:$B,A19,'Daily Log'!$A:$A,"&gt;="&amp;$B$3,'Daily Log'!$A:$A,"&lt;="&amp;$B$4)</f>
        <v>0</v>
      </c>
      <c r="O19">
        <f>SUMIFS('Daily Log'!$I:$I,'Daily Log'!$B:$B,A19,'Daily Log'!$A:$A,"&gt;="&amp;$B$3,'Daily Log'!$A:$A,"&lt;="&amp;$B$4)</f>
        <v>0</v>
      </c>
      <c r="P19">
        <f>SUMIFS('Daily Log'!$J:$J,'Daily Log'!$B:$B,A19,'Daily Log'!$A:$A,"&gt;="&amp;$B$3,'Daily Log'!$A:$A,"&lt;="&amp;$B$4)</f>
        <v>0</v>
      </c>
      <c r="Q19">
        <f>SUMIFS('Daily Log'!$L:$L,'Daily Log'!$B:$B,A19,'Daily Log'!$A:$A,"&gt;="&amp;$B$3,'Daily Log'!$A:$A,"&lt;="&amp;$B$4)</f>
        <v>0</v>
      </c>
      <c r="R19">
        <f>SUMIFS('Daily Log'!$M:$M,'Daily Log'!$B:$B,A19,'Daily Log'!$A:$A,"&gt;="&amp;$B$3,'Daily Log'!$A:$A,"&lt;="&amp;$B$4)</f>
        <v>0</v>
      </c>
      <c r="S19">
        <f>SUMIFS('Daily Log'!$N:$N,'Daily Log'!$B:$B,A19,'Daily Log'!$A:$A,"&gt;="&amp;$B$3,'Daily Log'!$A:$A,"&lt;="&amp;$B$4)</f>
        <v>0</v>
      </c>
      <c r="T19" s="299">
        <f>N(L19)*IFERROR(_xlfn.XLOOKUP(A19,'RE Rates'!$A:$A,'RE Rates'!$F:$F,0),0)+N(M19)*IFERROR(_xlfn.XLOOKUP(A19,'RE Rates'!$A:$A,'RE Rates'!$G:$G,0),0)+N(N19)*IFERROR(_xlfn.XLOOKUP(A19,'RE Rates'!$A:$A,'RE Rates'!$H:$H,0),0)+N(O19)*IFERROR(_xlfn.XLOOKUP(A19,'RE Rates'!$A:$A,'RE Rates'!$I:$I,0),0)+N(P19)*IFERROR(_xlfn.XLOOKUP(A19,'RE Rates'!$A:$A,'RE Rates'!$J:$J,0),0)+N(Q19)*IFERROR(_xlfn.XLOOKUP(A19,'RE Rates'!$A:$A,'RE Rates'!$K:$K,0),0)+N(R19)*IFERROR(_xlfn.XLOOKUP(A19,'RE Rates'!$A:$A,'RE Rates'!$L:$L,0),0)+N(S19)*IFERROR(_xlfn.XLOOKUP(A19,'RE Rates'!$A:$A,'RE Rates'!$M:$M,0),0)</f>
        <v>0</v>
      </c>
      <c r="U19" s="299">
        <f t="shared" si="3"/>
        <v>34765.5</v>
      </c>
      <c r="V19" s="300"/>
      <c r="W19" s="299">
        <f t="shared" si="5"/>
        <v>115.5</v>
      </c>
      <c r="X19" s="303"/>
      <c r="Y19" s="299">
        <f t="shared" si="8"/>
        <v>34765.5</v>
      </c>
    </row>
    <row r="20" spans="1:29" x14ac:dyDescent="0.35">
      <c r="A20" s="292" t="s">
        <v>278</v>
      </c>
      <c r="B20">
        <f>SUMIFS('Daily Log'!$C:$C,'Daily Log'!$B:$B,A20,'Daily Log'!$A:$A,"&gt;="&amp;$B$3,'Daily Log'!$A:$A,"&lt;="&amp;$B$4)</f>
        <v>301</v>
      </c>
      <c r="C20">
        <f>SUMIFS('Daily Log'!$D:$D,'Daily Log'!$B:$B,A20,'Daily Log'!$A:$A,"&gt;="&amp;$B$3,'Daily Log'!$A:$A,"&lt;="&amp;$B$4)</f>
        <v>0</v>
      </c>
      <c r="D20">
        <f t="shared" si="0"/>
        <v>301</v>
      </c>
      <c r="E20" s="300"/>
      <c r="F20" s="300"/>
      <c r="G20" s="300"/>
      <c r="H20" s="299">
        <f>IFERROR(_xlfn.XLOOKUP(A20,'RE Rates'!$A:$A,'RE Rates'!$D:$D,0),0)</f>
        <v>115.5</v>
      </c>
      <c r="I20" s="299">
        <f>IFERROR(_xlfn.XLOOKUP(A20,'RE Rates'!$A:$A,'RE Rates'!$E:$E,0),0)</f>
        <v>115.5</v>
      </c>
      <c r="J20" s="299">
        <f t="shared" si="9"/>
        <v>34765.5</v>
      </c>
      <c r="K20" s="299">
        <f t="shared" si="2"/>
        <v>0</v>
      </c>
      <c r="L20">
        <f>SUMIFS('Daily Log'!$K:$K,'Daily Log'!$B:$B,A20,'Daily Log'!$A:$A,"&gt;="&amp;$B$3,'Daily Log'!$A:$A,"&lt;="&amp;$B$4)</f>
        <v>0</v>
      </c>
      <c r="M20">
        <f>SUMIFS('Daily Log'!$G:$G,'Daily Log'!$B:$B,A20,'Daily Log'!$A:$A,"&gt;="&amp;$B$3,'Daily Log'!$A:$A,"&lt;="&amp;$B$4)</f>
        <v>0</v>
      </c>
      <c r="N20">
        <f>SUMIFS('Daily Log'!$H:$H,'Daily Log'!$B:$B,A20,'Daily Log'!$A:$A,"&gt;="&amp;$B$3,'Daily Log'!$A:$A,"&lt;="&amp;$B$4)</f>
        <v>0</v>
      </c>
      <c r="O20">
        <f>SUMIFS('Daily Log'!$I:$I,'Daily Log'!$B:$B,A20,'Daily Log'!$A:$A,"&gt;="&amp;$B$3,'Daily Log'!$A:$A,"&lt;="&amp;$B$4)</f>
        <v>0</v>
      </c>
      <c r="P20">
        <f>SUMIFS('Daily Log'!$J:$J,'Daily Log'!$B:$B,A20,'Daily Log'!$A:$A,"&gt;="&amp;$B$3,'Daily Log'!$A:$A,"&lt;="&amp;$B$4)</f>
        <v>0</v>
      </c>
      <c r="Q20">
        <f>SUMIFS('Daily Log'!$L:$L,'Daily Log'!$B:$B,A20,'Daily Log'!$A:$A,"&gt;="&amp;$B$3,'Daily Log'!$A:$A,"&lt;="&amp;$B$4)</f>
        <v>0</v>
      </c>
      <c r="R20">
        <f>SUMIFS('Daily Log'!$M:$M,'Daily Log'!$B:$B,A20,'Daily Log'!$A:$A,"&gt;="&amp;$B$3,'Daily Log'!$A:$A,"&lt;="&amp;$B$4)</f>
        <v>0</v>
      </c>
      <c r="S20">
        <f>SUMIFS('Daily Log'!$N:$N,'Daily Log'!$B:$B,A20,'Daily Log'!$A:$A,"&gt;="&amp;$B$3,'Daily Log'!$A:$A,"&lt;="&amp;$B$4)</f>
        <v>0</v>
      </c>
      <c r="T20" s="299">
        <f>N(L20)*IFERROR(_xlfn.XLOOKUP(A20,'RE Rates'!$A:$A,'RE Rates'!$F:$F,0),0)+N(M20)*IFERROR(_xlfn.XLOOKUP(A20,'RE Rates'!$A:$A,'RE Rates'!$G:$G,0),0)+N(N20)*IFERROR(_xlfn.XLOOKUP(A20,'RE Rates'!$A:$A,'RE Rates'!$H:$H,0),0)+N(O20)*IFERROR(_xlfn.XLOOKUP(A20,'RE Rates'!$A:$A,'RE Rates'!$I:$I,0),0)+N(P20)*IFERROR(_xlfn.XLOOKUP(A20,'RE Rates'!$A:$A,'RE Rates'!$J:$J,0),0)+N(Q20)*IFERROR(_xlfn.XLOOKUP(A20,'RE Rates'!$A:$A,'RE Rates'!$K:$K,0),0)+N(R20)*IFERROR(_xlfn.XLOOKUP(A20,'RE Rates'!$A:$A,'RE Rates'!$L:$L,0),0)+N(S20)*IFERROR(_xlfn.XLOOKUP(A20,'RE Rates'!$A:$A,'RE Rates'!$M:$M,0),0)</f>
        <v>0</v>
      </c>
      <c r="U20" s="299">
        <f t="shared" si="3"/>
        <v>34765.5</v>
      </c>
      <c r="V20" s="300"/>
      <c r="W20" s="299">
        <f t="shared" si="5"/>
        <v>115.5</v>
      </c>
      <c r="X20" s="303"/>
      <c r="Y20" s="299">
        <f t="shared" si="8"/>
        <v>34765.5</v>
      </c>
    </row>
    <row r="21" spans="1:29" x14ac:dyDescent="0.35">
      <c r="A21" s="292" t="s">
        <v>279</v>
      </c>
      <c r="B21">
        <f>SUMIFS('Daily Log'!$C:$C,'Daily Log'!$B:$B,A21,'Daily Log'!$A:$A,"&gt;="&amp;$B$3,'Daily Log'!$A:$A,"&lt;="&amp;$B$4)</f>
        <v>206</v>
      </c>
      <c r="C21">
        <f>SUMIFS('Daily Log'!$D:$D,'Daily Log'!$B:$B,A21,'Daily Log'!$A:$A,"&gt;="&amp;$B$3,'Daily Log'!$A:$A,"&lt;="&amp;$B$4)</f>
        <v>0</v>
      </c>
      <c r="D21">
        <f t="shared" si="0"/>
        <v>206</v>
      </c>
      <c r="E21" s="300"/>
      <c r="F21" s="300"/>
      <c r="G21" s="300"/>
      <c r="H21" s="299">
        <f>IFERROR(_xlfn.XLOOKUP(A21,'RE Rates'!$A:$A,'RE Rates'!$D:$D,0),0)</f>
        <v>115.5</v>
      </c>
      <c r="I21" s="299">
        <f>IFERROR(_xlfn.XLOOKUP(A21,'RE Rates'!$A:$A,'RE Rates'!$E:$E,0),0)</f>
        <v>115.5</v>
      </c>
      <c r="J21" s="299">
        <f t="shared" si="9"/>
        <v>23793</v>
      </c>
      <c r="K21" s="299">
        <f t="shared" si="2"/>
        <v>0</v>
      </c>
      <c r="L21">
        <f>SUMIFS('Daily Log'!$K:$K,'Daily Log'!$B:$B,A21,'Daily Log'!$A:$A,"&gt;="&amp;$B$3,'Daily Log'!$A:$A,"&lt;="&amp;$B$4)</f>
        <v>0</v>
      </c>
      <c r="M21">
        <f>SUMIFS('Daily Log'!$G:$G,'Daily Log'!$B:$B,A21,'Daily Log'!$A:$A,"&gt;="&amp;$B$3,'Daily Log'!$A:$A,"&lt;="&amp;$B$4)</f>
        <v>0</v>
      </c>
      <c r="N21">
        <f>SUMIFS('Daily Log'!$H:$H,'Daily Log'!$B:$B,A21,'Daily Log'!$A:$A,"&gt;="&amp;$B$3,'Daily Log'!$A:$A,"&lt;="&amp;$B$4)</f>
        <v>0</v>
      </c>
      <c r="O21">
        <f>SUMIFS('Daily Log'!$I:$I,'Daily Log'!$B:$B,A21,'Daily Log'!$A:$A,"&gt;="&amp;$B$3,'Daily Log'!$A:$A,"&lt;="&amp;$B$4)</f>
        <v>0</v>
      </c>
      <c r="P21">
        <f>SUMIFS('Daily Log'!$J:$J,'Daily Log'!$B:$B,A21,'Daily Log'!$A:$A,"&gt;="&amp;$B$3,'Daily Log'!$A:$A,"&lt;="&amp;$B$4)</f>
        <v>0</v>
      </c>
      <c r="Q21">
        <f>SUMIFS('Daily Log'!$L:$L,'Daily Log'!$B:$B,A21,'Daily Log'!$A:$A,"&gt;="&amp;$B$3,'Daily Log'!$A:$A,"&lt;="&amp;$B$4)</f>
        <v>0</v>
      </c>
      <c r="R21">
        <f>SUMIFS('Daily Log'!$M:$M,'Daily Log'!$B:$B,A21,'Daily Log'!$A:$A,"&gt;="&amp;$B$3,'Daily Log'!$A:$A,"&lt;="&amp;$B$4)</f>
        <v>0</v>
      </c>
      <c r="S21">
        <f>SUMIFS('Daily Log'!$N:$N,'Daily Log'!$B:$B,A21,'Daily Log'!$A:$A,"&gt;="&amp;$B$3,'Daily Log'!$A:$A,"&lt;="&amp;$B$4)</f>
        <v>0</v>
      </c>
      <c r="T21" s="299">
        <f>N(L21)*IFERROR(_xlfn.XLOOKUP(A21,'RE Rates'!$A:$A,'RE Rates'!$F:$F,0),0)+N(M21)*IFERROR(_xlfn.XLOOKUP(A21,'RE Rates'!$A:$A,'RE Rates'!$G:$G,0),0)+N(N21)*IFERROR(_xlfn.XLOOKUP(A21,'RE Rates'!$A:$A,'RE Rates'!$H:$H,0),0)+N(O21)*IFERROR(_xlfn.XLOOKUP(A21,'RE Rates'!$A:$A,'RE Rates'!$I:$I,0),0)+N(P21)*IFERROR(_xlfn.XLOOKUP(A21,'RE Rates'!$A:$A,'RE Rates'!$J:$J,0),0)+N(Q21)*IFERROR(_xlfn.XLOOKUP(A21,'RE Rates'!$A:$A,'RE Rates'!$K:$K,0),0)+N(R21)*IFERROR(_xlfn.XLOOKUP(A21,'RE Rates'!$A:$A,'RE Rates'!$L:$L,0),0)+N(S21)*IFERROR(_xlfn.XLOOKUP(A21,'RE Rates'!$A:$A,'RE Rates'!$M:$M,0),0)</f>
        <v>0</v>
      </c>
      <c r="U21" s="299">
        <f t="shared" si="3"/>
        <v>23793</v>
      </c>
      <c r="V21" s="300"/>
      <c r="W21" s="299">
        <f t="shared" si="5"/>
        <v>115.5</v>
      </c>
      <c r="X21" s="303"/>
      <c r="Y21" s="299">
        <f t="shared" si="8"/>
        <v>23793</v>
      </c>
    </row>
    <row r="22" spans="1:29" x14ac:dyDescent="0.35">
      <c r="A22" s="292" t="s">
        <v>280</v>
      </c>
      <c r="B22">
        <f>SUMIFS('Daily Log'!$C:$C,'Daily Log'!$B:$B,A22,'Daily Log'!$A:$A,"&gt;="&amp;$B$3,'Daily Log'!$A:$A,"&lt;="&amp;$B$4)</f>
        <v>301</v>
      </c>
      <c r="C22">
        <f>SUMIFS('Daily Log'!$D:$D,'Daily Log'!$B:$B,A22,'Daily Log'!$A:$A,"&gt;="&amp;$B$3,'Daily Log'!$A:$A,"&lt;="&amp;$B$4)</f>
        <v>0</v>
      </c>
      <c r="D22">
        <f t="shared" si="0"/>
        <v>301</v>
      </c>
      <c r="E22" s="300"/>
      <c r="F22" s="300"/>
      <c r="G22" s="300"/>
      <c r="H22" s="299">
        <f>IFERROR(_xlfn.XLOOKUP(A22,'RE Rates'!$A:$A,'RE Rates'!$D:$D,0),0)</f>
        <v>115.5</v>
      </c>
      <c r="I22" s="299">
        <f>IFERROR(_xlfn.XLOOKUP(A22,'RE Rates'!$A:$A,'RE Rates'!$E:$E,0),0)</f>
        <v>115.5</v>
      </c>
      <c r="J22" s="299">
        <f t="shared" si="9"/>
        <v>34765.5</v>
      </c>
      <c r="K22" s="299">
        <f t="shared" si="2"/>
        <v>0</v>
      </c>
      <c r="L22">
        <f>SUMIFS('Daily Log'!$K:$K,'Daily Log'!$B:$B,A22,'Daily Log'!$A:$A,"&gt;="&amp;$B$3,'Daily Log'!$A:$A,"&lt;="&amp;$B$4)</f>
        <v>0</v>
      </c>
      <c r="M22">
        <f>SUMIFS('Daily Log'!$G:$G,'Daily Log'!$B:$B,A22,'Daily Log'!$A:$A,"&gt;="&amp;$B$3,'Daily Log'!$A:$A,"&lt;="&amp;$B$4)</f>
        <v>0</v>
      </c>
      <c r="N22">
        <f>SUMIFS('Daily Log'!$H:$H,'Daily Log'!$B:$B,A22,'Daily Log'!$A:$A,"&gt;="&amp;$B$3,'Daily Log'!$A:$A,"&lt;="&amp;$B$4)</f>
        <v>0</v>
      </c>
      <c r="O22">
        <f>SUMIFS('Daily Log'!$I:$I,'Daily Log'!$B:$B,A22,'Daily Log'!$A:$A,"&gt;="&amp;$B$3,'Daily Log'!$A:$A,"&lt;="&amp;$B$4)</f>
        <v>0</v>
      </c>
      <c r="P22">
        <f>SUMIFS('Daily Log'!$J:$J,'Daily Log'!$B:$B,A22,'Daily Log'!$A:$A,"&gt;="&amp;$B$3,'Daily Log'!$A:$A,"&lt;="&amp;$B$4)</f>
        <v>0</v>
      </c>
      <c r="Q22">
        <f>SUMIFS('Daily Log'!$L:$L,'Daily Log'!$B:$B,A22,'Daily Log'!$A:$A,"&gt;="&amp;$B$3,'Daily Log'!$A:$A,"&lt;="&amp;$B$4)</f>
        <v>0</v>
      </c>
      <c r="R22">
        <f>SUMIFS('Daily Log'!$M:$M,'Daily Log'!$B:$B,A22,'Daily Log'!$A:$A,"&gt;="&amp;$B$3,'Daily Log'!$A:$A,"&lt;="&amp;$B$4)</f>
        <v>0</v>
      </c>
      <c r="S22">
        <f>SUMIFS('Daily Log'!$N:$N,'Daily Log'!$B:$B,A22,'Daily Log'!$A:$A,"&gt;="&amp;$B$3,'Daily Log'!$A:$A,"&lt;="&amp;$B$4)</f>
        <v>0</v>
      </c>
      <c r="T22" s="299">
        <f>N(L22)*IFERROR(_xlfn.XLOOKUP(A22,'RE Rates'!$A:$A,'RE Rates'!$F:$F,0),0)+N(M22)*IFERROR(_xlfn.XLOOKUP(A22,'RE Rates'!$A:$A,'RE Rates'!$G:$G,0),0)+N(N22)*IFERROR(_xlfn.XLOOKUP(A22,'RE Rates'!$A:$A,'RE Rates'!$H:$H,0),0)+N(O22)*IFERROR(_xlfn.XLOOKUP(A22,'RE Rates'!$A:$A,'RE Rates'!$I:$I,0),0)+N(P22)*IFERROR(_xlfn.XLOOKUP(A22,'RE Rates'!$A:$A,'RE Rates'!$J:$J,0),0)+N(Q22)*IFERROR(_xlfn.XLOOKUP(A22,'RE Rates'!$A:$A,'RE Rates'!$K:$K,0),0)+N(R22)*IFERROR(_xlfn.XLOOKUP(A22,'RE Rates'!$A:$A,'RE Rates'!$L:$L,0),0)+N(S22)*IFERROR(_xlfn.XLOOKUP(A22,'RE Rates'!$A:$A,'RE Rates'!$M:$M,0),0)</f>
        <v>0</v>
      </c>
      <c r="U22" s="299">
        <f t="shared" si="3"/>
        <v>34765.5</v>
      </c>
      <c r="V22" s="300"/>
      <c r="W22" s="299">
        <f t="shared" si="5"/>
        <v>115.5</v>
      </c>
      <c r="X22" s="303"/>
      <c r="Y22" s="299">
        <f t="shared" si="8"/>
        <v>34765.5</v>
      </c>
    </row>
    <row r="23" spans="1:29" x14ac:dyDescent="0.35">
      <c r="A23" s="292" t="s">
        <v>281</v>
      </c>
      <c r="B23">
        <f>SUMIFS('Daily Log'!$C:$C,'Daily Log'!$B:$B,A23,'Daily Log'!$A:$A,"&gt;="&amp;$B$3,'Daily Log'!$A:$A,"&lt;="&amp;$B$4)</f>
        <v>301</v>
      </c>
      <c r="C23">
        <f>SUMIFS('Daily Log'!$D:$D,'Daily Log'!$B:$B,A23,'Daily Log'!$A:$A,"&gt;="&amp;$B$3,'Daily Log'!$A:$A,"&lt;="&amp;$B$4)</f>
        <v>0</v>
      </c>
      <c r="D23">
        <f t="shared" si="0"/>
        <v>301</v>
      </c>
      <c r="E23" s="300"/>
      <c r="F23" s="300"/>
      <c r="G23" s="300"/>
      <c r="H23" s="299">
        <f>IFERROR(_xlfn.XLOOKUP(A23,'RE Rates'!$A:$A,'RE Rates'!$D:$D,0),0)</f>
        <v>115.5</v>
      </c>
      <c r="I23" s="299">
        <f>IFERROR(_xlfn.XLOOKUP(A23,'RE Rates'!$A:$A,'RE Rates'!$E:$E,0),0)</f>
        <v>115.5</v>
      </c>
      <c r="J23" s="299">
        <f t="shared" si="9"/>
        <v>34765.5</v>
      </c>
      <c r="K23" s="299">
        <f t="shared" si="2"/>
        <v>0</v>
      </c>
      <c r="L23">
        <f>SUMIFS('Daily Log'!$K:$K,'Daily Log'!$B:$B,A23,'Daily Log'!$A:$A,"&gt;="&amp;$B$3,'Daily Log'!$A:$A,"&lt;="&amp;$B$4)</f>
        <v>0</v>
      </c>
      <c r="M23">
        <f>SUMIFS('Daily Log'!$G:$G,'Daily Log'!$B:$B,A23,'Daily Log'!$A:$A,"&gt;="&amp;$B$3,'Daily Log'!$A:$A,"&lt;="&amp;$B$4)</f>
        <v>0</v>
      </c>
      <c r="N23">
        <f>SUMIFS('Daily Log'!$H:$H,'Daily Log'!$B:$B,A23,'Daily Log'!$A:$A,"&gt;="&amp;$B$3,'Daily Log'!$A:$A,"&lt;="&amp;$B$4)</f>
        <v>0</v>
      </c>
      <c r="O23">
        <f>SUMIFS('Daily Log'!$I:$I,'Daily Log'!$B:$B,A23,'Daily Log'!$A:$A,"&gt;="&amp;$B$3,'Daily Log'!$A:$A,"&lt;="&amp;$B$4)</f>
        <v>0</v>
      </c>
      <c r="P23">
        <f>SUMIFS('Daily Log'!$J:$J,'Daily Log'!$B:$B,A23,'Daily Log'!$A:$A,"&gt;="&amp;$B$3,'Daily Log'!$A:$A,"&lt;="&amp;$B$4)</f>
        <v>0</v>
      </c>
      <c r="Q23">
        <f>SUMIFS('Daily Log'!$L:$L,'Daily Log'!$B:$B,A23,'Daily Log'!$A:$A,"&gt;="&amp;$B$3,'Daily Log'!$A:$A,"&lt;="&amp;$B$4)</f>
        <v>0</v>
      </c>
      <c r="R23">
        <f>SUMIFS('Daily Log'!$M:$M,'Daily Log'!$B:$B,A23,'Daily Log'!$A:$A,"&gt;="&amp;$B$3,'Daily Log'!$A:$A,"&lt;="&amp;$B$4)</f>
        <v>0</v>
      </c>
      <c r="S23">
        <f>SUMIFS('Daily Log'!$N:$N,'Daily Log'!$B:$B,A23,'Daily Log'!$A:$A,"&gt;="&amp;$B$3,'Daily Log'!$A:$A,"&lt;="&amp;$B$4)</f>
        <v>0</v>
      </c>
      <c r="T23" s="299">
        <f>N(L23)*IFERROR(_xlfn.XLOOKUP(A23,'RE Rates'!$A:$A,'RE Rates'!$F:$F,0),0)+N(M23)*IFERROR(_xlfn.XLOOKUP(A23,'RE Rates'!$A:$A,'RE Rates'!$G:$G,0),0)+N(N23)*IFERROR(_xlfn.XLOOKUP(A23,'RE Rates'!$A:$A,'RE Rates'!$H:$H,0),0)+N(O23)*IFERROR(_xlfn.XLOOKUP(A23,'RE Rates'!$A:$A,'RE Rates'!$I:$I,0),0)+N(P23)*IFERROR(_xlfn.XLOOKUP(A23,'RE Rates'!$A:$A,'RE Rates'!$J:$J,0),0)+N(Q23)*IFERROR(_xlfn.XLOOKUP(A23,'RE Rates'!$A:$A,'RE Rates'!$K:$K,0),0)+N(R23)*IFERROR(_xlfn.XLOOKUP(A23,'RE Rates'!$A:$A,'RE Rates'!$L:$L,0),0)+N(S23)*IFERROR(_xlfn.XLOOKUP(A23,'RE Rates'!$A:$A,'RE Rates'!$M:$M,0),0)</f>
        <v>0</v>
      </c>
      <c r="U23" s="299">
        <f>N(J23)+N(K23)</f>
        <v>34765.5</v>
      </c>
      <c r="V23" s="300"/>
      <c r="W23" s="299">
        <f t="shared" si="5"/>
        <v>115.5</v>
      </c>
      <c r="X23" s="303"/>
      <c r="Y23" s="299">
        <f t="shared" si="8"/>
        <v>34765.5</v>
      </c>
    </row>
    <row r="24" spans="1:29" x14ac:dyDescent="0.35">
      <c r="A24" s="292" t="s">
        <v>282</v>
      </c>
      <c r="B24">
        <f>SUMIFS('Daily Log'!$C:$C,'Daily Log'!$B:$B,A24,'Daily Log'!$A:$A,"&gt;="&amp;$B$3,'Daily Log'!$A:$A,"&lt;="&amp;$B$4)</f>
        <v>0</v>
      </c>
      <c r="C24">
        <f>SUMIFS('Daily Log'!$D:$D,'Daily Log'!$B:$B,A24,'Daily Log'!$A:$A,"&gt;="&amp;$B$3,'Daily Log'!$A:$A,"&lt;="&amp;$B$4)</f>
        <v>0</v>
      </c>
      <c r="D24">
        <f t="shared" si="0"/>
        <v>0</v>
      </c>
      <c r="E24" s="300"/>
      <c r="F24" s="300"/>
      <c r="G24" s="300"/>
      <c r="H24" s="299">
        <f>IFERROR(_xlfn.XLOOKUP(A24,'RE Rates'!$A:$A,'RE Rates'!$D:$D,0),0)</f>
        <v>115.5</v>
      </c>
      <c r="I24" s="299">
        <f>IFERROR(_xlfn.XLOOKUP(A24,'RE Rates'!$A:$A,'RE Rates'!$E:$E,0),0)</f>
        <v>0</v>
      </c>
      <c r="J24" s="299">
        <f>N(B24)*N(H24)</f>
        <v>0</v>
      </c>
      <c r="K24" s="299">
        <f t="shared" si="2"/>
        <v>0</v>
      </c>
      <c r="L24">
        <f>SUMIFS('Daily Log'!$K:$K,'Daily Log'!$B:$B,A24,'Daily Log'!$A:$A,"&gt;="&amp;$B$3,'Daily Log'!$A:$A,"&lt;="&amp;$B$4)</f>
        <v>0</v>
      </c>
      <c r="M24">
        <f>SUMIFS('Daily Log'!$G:$G,'Daily Log'!$B:$B,A24,'Daily Log'!$A:$A,"&gt;="&amp;$B$3,'Daily Log'!$A:$A,"&lt;="&amp;$B$4)</f>
        <v>0</v>
      </c>
      <c r="N24">
        <f>SUMIFS('Daily Log'!$H:$H,'Daily Log'!$B:$B,A24,'Daily Log'!$A:$A,"&gt;="&amp;$B$3,'Daily Log'!$A:$A,"&lt;="&amp;$B$4)</f>
        <v>0</v>
      </c>
      <c r="O24">
        <f>SUMIFS('Daily Log'!$I:$I,'Daily Log'!$B:$B,A24,'Daily Log'!$A:$A,"&gt;="&amp;$B$3,'Daily Log'!$A:$A,"&lt;="&amp;$B$4)</f>
        <v>0</v>
      </c>
      <c r="P24">
        <f>SUMIFS('Daily Log'!$J:$J,'Daily Log'!$B:$B,A24,'Daily Log'!$A:$A,"&gt;="&amp;$B$3,'Daily Log'!$A:$A,"&lt;="&amp;$B$4)</f>
        <v>0</v>
      </c>
      <c r="Q24">
        <f>SUMIFS('Daily Log'!$L:$L,'Daily Log'!$B:$B,A24,'Daily Log'!$A:$A,"&gt;="&amp;$B$3,'Daily Log'!$A:$A,"&lt;="&amp;$B$4)</f>
        <v>0</v>
      </c>
      <c r="R24">
        <f>SUMIFS('Daily Log'!$M:$M,'Daily Log'!$B:$B,A24,'Daily Log'!$A:$A,"&gt;="&amp;$B$3,'Daily Log'!$A:$A,"&lt;="&amp;$B$4)</f>
        <v>0</v>
      </c>
      <c r="S24">
        <f>SUMIFS('Daily Log'!$N:$N,'Daily Log'!$B:$B,A24,'Daily Log'!$A:$A,"&gt;="&amp;$B$3,'Daily Log'!$A:$A,"&lt;="&amp;$B$4)</f>
        <v>0</v>
      </c>
      <c r="T24" s="299">
        <f>N(L24)*IFERROR(_xlfn.XLOOKUP(A24,'RE Rates'!$A:$A,'RE Rates'!$F:$F,0),0)+N(M24)*IFERROR(_xlfn.XLOOKUP(A24,'RE Rates'!$A:$A,'RE Rates'!$G:$G,0),0)+N(N24)*IFERROR(_xlfn.XLOOKUP(A24,'RE Rates'!$A:$A,'RE Rates'!$H:$H,0),0)+N(O24)*IFERROR(_xlfn.XLOOKUP(A24,'RE Rates'!$A:$A,'RE Rates'!$I:$I,0),0)+N(P24)*IFERROR(_xlfn.XLOOKUP(A24,'RE Rates'!$A:$A,'RE Rates'!$J:$J,0),0)+N(Q24)*IFERROR(_xlfn.XLOOKUP(A24,'RE Rates'!$A:$A,'RE Rates'!$K:$K,0),0)+N(R24)*IFERROR(_xlfn.XLOOKUP(A24,'RE Rates'!$A:$A,'RE Rates'!$L:$L,0),0)+N(S24)*IFERROR(_xlfn.XLOOKUP(A24,'RE Rates'!$A:$A,'RE Rates'!$M:$M,0),0)</f>
        <v>0</v>
      </c>
      <c r="U24" s="299">
        <f>N(J24)+N(K24)</f>
        <v>0</v>
      </c>
      <c r="V24" s="300"/>
      <c r="W24" s="299">
        <f t="shared" si="5"/>
        <v>115.5</v>
      </c>
      <c r="X24" s="303"/>
      <c r="Y24" s="299">
        <f t="shared" si="8"/>
        <v>0</v>
      </c>
    </row>
    <row r="25" spans="1:29" x14ac:dyDescent="0.35">
      <c r="A25" s="292" t="s">
        <v>283</v>
      </c>
      <c r="B25">
        <f>SUMIFS('Daily Log'!$C:$C,'Daily Log'!$B:$B,A25,'Daily Log'!$A:$A,"&gt;="&amp;$B$3,'Daily Log'!$A:$A,"&lt;="&amp;$B$4)</f>
        <v>136.5</v>
      </c>
      <c r="C25">
        <f>SUMIFS('Daily Log'!$D:$D,'Daily Log'!$B:$B,A25,'Daily Log'!$A:$A,"&gt;="&amp;$B$3,'Daily Log'!$A:$A,"&lt;="&amp;$B$4)</f>
        <v>0</v>
      </c>
      <c r="D25">
        <f t="shared" si="0"/>
        <v>136.5</v>
      </c>
      <c r="E25" s="300"/>
      <c r="F25" s="300"/>
      <c r="G25" s="300"/>
      <c r="H25" s="299">
        <f>IFERROR(_xlfn.XLOOKUP(A25,'RE Rates'!$A:$A,'RE Rates'!$D:$D,0),0)</f>
        <v>142</v>
      </c>
      <c r="I25" s="299">
        <f>IFERROR(_xlfn.XLOOKUP(A25,'RE Rates'!$A:$A,'RE Rates'!$E:$E,0),0)</f>
        <v>142</v>
      </c>
      <c r="J25" s="299">
        <f>N(B25)*N(H25)</f>
        <v>19383</v>
      </c>
      <c r="K25" s="299">
        <f t="shared" si="2"/>
        <v>0</v>
      </c>
      <c r="L25">
        <f>SUMIFS('Daily Log'!$K:$K,'Daily Log'!$B:$B,A25,'Daily Log'!$A:$A,"&gt;="&amp;$B$3,'Daily Log'!$A:$A,"&lt;="&amp;$B$4)</f>
        <v>0</v>
      </c>
      <c r="M25">
        <f>SUMIFS('Daily Log'!$G:$G,'Daily Log'!$B:$B,A25,'Daily Log'!$A:$A,"&gt;="&amp;$B$3,'Daily Log'!$A:$A,"&lt;="&amp;$B$4)</f>
        <v>0</v>
      </c>
      <c r="N25">
        <f>SUMIFS('Daily Log'!$H:$H,'Daily Log'!$B:$B,A25,'Daily Log'!$A:$A,"&gt;="&amp;$B$3,'Daily Log'!$A:$A,"&lt;="&amp;$B$4)</f>
        <v>0</v>
      </c>
      <c r="O25">
        <f>SUMIFS('Daily Log'!$I:$I,'Daily Log'!$B:$B,A25,'Daily Log'!$A:$A,"&gt;="&amp;$B$3,'Daily Log'!$A:$A,"&lt;="&amp;$B$4)</f>
        <v>0</v>
      </c>
      <c r="P25">
        <f>SUMIFS('Daily Log'!$J:$J,'Daily Log'!$B:$B,A25,'Daily Log'!$A:$A,"&gt;="&amp;$B$3,'Daily Log'!$A:$A,"&lt;="&amp;$B$4)</f>
        <v>0</v>
      </c>
      <c r="Q25">
        <f>SUMIFS('Daily Log'!$L:$L,'Daily Log'!$B:$B,A25,'Daily Log'!$A:$A,"&gt;="&amp;$B$3,'Daily Log'!$A:$A,"&lt;="&amp;$B$4)</f>
        <v>0</v>
      </c>
      <c r="R25">
        <f>SUMIFS('Daily Log'!$M:$M,'Daily Log'!$B:$B,A25,'Daily Log'!$A:$A,"&gt;="&amp;$B$3,'Daily Log'!$A:$A,"&lt;="&amp;$B$4)</f>
        <v>0</v>
      </c>
      <c r="S25">
        <f>SUMIFS('Daily Log'!$N:$N,'Daily Log'!$B:$B,A25,'Daily Log'!$A:$A,"&gt;="&amp;$B$3,'Daily Log'!$A:$A,"&lt;="&amp;$B$4)</f>
        <v>0</v>
      </c>
      <c r="T25" s="299">
        <f>N(L25)*IFERROR(_xlfn.XLOOKUP(A25,'RE Rates'!$A:$A,'RE Rates'!$F:$F,0),0)+N(M25)*IFERROR(_xlfn.XLOOKUP(A25,'RE Rates'!$A:$A,'RE Rates'!$G:$G,0),0)+N(N25)*IFERROR(_xlfn.XLOOKUP(A25,'RE Rates'!$A:$A,'RE Rates'!$H:$H,0),0)+N(O25)*IFERROR(_xlfn.XLOOKUP(A25,'RE Rates'!$A:$A,'RE Rates'!$I:$I,0),0)+N(P25)*IFERROR(_xlfn.XLOOKUP(A25,'RE Rates'!$A:$A,'RE Rates'!$J:$J,0),0)+N(Q25)*IFERROR(_xlfn.XLOOKUP(A25,'RE Rates'!$A:$A,'RE Rates'!$K:$K,0),0)+N(R25)*IFERROR(_xlfn.XLOOKUP(A25,'RE Rates'!$A:$A,'RE Rates'!$L:$L,0),0)+N(S25)*IFERROR(_xlfn.XLOOKUP(A25,'RE Rates'!$A:$A,'RE Rates'!$M:$M,0),0)</f>
        <v>0</v>
      </c>
      <c r="U25" s="299">
        <f>N(J25)+N(K25)</f>
        <v>19383</v>
      </c>
      <c r="V25" s="300"/>
      <c r="W25" s="299">
        <f t="shared" si="5"/>
        <v>142</v>
      </c>
      <c r="X25" s="303"/>
      <c r="Y25" s="299">
        <f t="shared" si="8"/>
        <v>19383</v>
      </c>
    </row>
    <row r="26" spans="1:29" x14ac:dyDescent="0.35">
      <c r="A26" s="292" t="s">
        <v>284</v>
      </c>
      <c r="B26" s="300"/>
      <c r="C26" s="300"/>
      <c r="D26" s="300"/>
      <c r="E26" s="300"/>
      <c r="F26">
        <f>SUMIFS('Daily Log'!$F:$F,'Daily Log'!$B:$B,A26,'Daily Log'!$A:$A,"&gt;="&amp;$B$3,'Daily Log'!$A:$A,"&lt;="&amp;$B$4)</f>
        <v>34</v>
      </c>
      <c r="G26" s="299">
        <f>IFERROR(_xlfn.XLOOKUP(A26,'RE Rates'!$A:$A,'RE Rates'!$C:$C,0),0)</f>
        <v>312.39999999999998</v>
      </c>
      <c r="H26" s="300"/>
      <c r="I26" s="300"/>
      <c r="J26" s="299">
        <f>N(F26)*(N(G26))</f>
        <v>10621.599999999999</v>
      </c>
      <c r="K26" s="300"/>
      <c r="L26" s="300"/>
      <c r="M26" s="300"/>
      <c r="N26" s="300"/>
      <c r="O26" s="300"/>
      <c r="P26" s="300"/>
      <c r="Q26" s="300"/>
      <c r="R26" s="300"/>
      <c r="S26" s="300"/>
      <c r="T26" s="300"/>
      <c r="U26" s="299">
        <f>N(J26)</f>
        <v>10621.599999999999</v>
      </c>
      <c r="V26" s="300"/>
      <c r="W26" s="299"/>
      <c r="X26" s="300"/>
      <c r="Y26" s="300"/>
    </row>
    <row r="27" spans="1:29" x14ac:dyDescent="0.35">
      <c r="A27" s="292" t="s">
        <v>285</v>
      </c>
      <c r="B27" s="300"/>
      <c r="C27" s="300"/>
      <c r="D27" s="300"/>
      <c r="E27" s="300"/>
      <c r="F27">
        <f>SUMIFS('Daily Log'!$F:$F,'Daily Log'!$B:$B,A27,'Daily Log'!$A:$A,"&gt;="&amp;$B$3,'Daily Log'!$A:$A,"&lt;="&amp;$B$4)</f>
        <v>34</v>
      </c>
      <c r="G27" s="299">
        <f>IFERROR(_xlfn.XLOOKUP(A27,'RE Rates'!$A:$A,'RE Rates'!$C:$C,0),0)</f>
        <v>187</v>
      </c>
      <c r="H27" s="300"/>
      <c r="I27" s="300"/>
      <c r="J27" s="299">
        <f>N(F27)*(N(G27))</f>
        <v>6358</v>
      </c>
      <c r="K27" s="300"/>
      <c r="L27" s="300"/>
      <c r="M27" s="300"/>
      <c r="N27" s="300"/>
      <c r="O27" s="300"/>
      <c r="P27" s="300"/>
      <c r="Q27" s="300"/>
      <c r="R27" s="300"/>
      <c r="S27" s="300"/>
      <c r="T27" s="300"/>
      <c r="U27" s="299">
        <f>N(J27)</f>
        <v>6358</v>
      </c>
      <c r="V27" s="300"/>
      <c r="W27" s="299"/>
      <c r="X27" s="300"/>
      <c r="Y27" s="300"/>
    </row>
    <row r="28" spans="1:29" x14ac:dyDescent="0.35">
      <c r="A28" s="292" t="str">
        <f>Config!A23</f>
        <v>Wallaby Beach Accommodation</v>
      </c>
      <c r="B28" s="300"/>
      <c r="C28" s="300"/>
      <c r="D28" s="300"/>
      <c r="E28" s="300"/>
      <c r="G28" s="299">
        <f>'Site Instructions &amp; Variations'!D2</f>
        <v>2316.3503999999998</v>
      </c>
      <c r="H28" s="300"/>
      <c r="I28" s="300"/>
      <c r="J28" s="299">
        <f>(G28)</f>
        <v>2316.3503999999998</v>
      </c>
      <c r="K28" s="300"/>
      <c r="L28" s="300"/>
      <c r="M28" s="300"/>
      <c r="N28" s="300"/>
      <c r="O28" s="300"/>
      <c r="P28" s="300"/>
      <c r="Q28" s="300"/>
      <c r="R28" s="300"/>
      <c r="S28" s="300"/>
      <c r="T28" s="300"/>
      <c r="U28" s="299">
        <f>G28</f>
        <v>2316.3503999999998</v>
      </c>
      <c r="V28" s="300"/>
      <c r="W28" s="299"/>
      <c r="X28" s="300"/>
      <c r="Y28" s="300"/>
    </row>
    <row r="29" spans="1:29" x14ac:dyDescent="0.35">
      <c r="A29" s="292"/>
      <c r="B29" s="300"/>
      <c r="C29" s="300"/>
      <c r="D29" s="300"/>
      <c r="E29" s="300"/>
      <c r="G29" s="299">
        <f>'Site Instructions &amp; Variations'!D3</f>
        <v>0</v>
      </c>
      <c r="H29" s="300"/>
      <c r="I29" s="300"/>
      <c r="J29" s="299">
        <f>(G29)</f>
        <v>0</v>
      </c>
      <c r="K29" s="300"/>
      <c r="L29" s="300"/>
      <c r="M29" s="300"/>
      <c r="N29" s="300"/>
      <c r="O29" s="300"/>
      <c r="P29" s="300"/>
      <c r="Q29" s="300"/>
      <c r="R29" s="300"/>
      <c r="S29" s="300"/>
      <c r="T29" s="300"/>
      <c r="U29" s="299">
        <f>G29</f>
        <v>0</v>
      </c>
      <c r="V29" s="300"/>
      <c r="W29" s="299"/>
      <c r="X29" s="300"/>
      <c r="Y29" s="300"/>
    </row>
    <row r="30" spans="1:29" x14ac:dyDescent="0.35">
      <c r="A30" s="304" t="s">
        <v>286</v>
      </c>
      <c r="B30" s="305">
        <f>SUM(B7:B25)</f>
        <v>3383.9999999999991</v>
      </c>
      <c r="C30" s="305">
        <f>SUM(C7:C25)</f>
        <v>1009.1999999999998</v>
      </c>
      <c r="D30" s="305">
        <f>SUM(D7:D25)</f>
        <v>4393.1999999999989</v>
      </c>
      <c r="E30" s="306"/>
      <c r="F30" s="306"/>
      <c r="G30" s="306"/>
      <c r="H30" s="306"/>
      <c r="I30" s="306"/>
      <c r="J30" s="307">
        <f>SUM(J7:J28)</f>
        <v>387256.9053999997</v>
      </c>
      <c r="K30" s="307">
        <f>SUM(K7:K27)</f>
        <v>107123.11500000001</v>
      </c>
      <c r="L30" s="306"/>
      <c r="M30" s="306"/>
      <c r="N30" s="306"/>
      <c r="O30" s="306"/>
      <c r="P30" s="306"/>
      <c r="Q30" s="306"/>
      <c r="R30" s="306"/>
      <c r="S30" s="306"/>
      <c r="T30" s="308">
        <f>SUM(T7:T27)</f>
        <v>0</v>
      </c>
      <c r="U30" s="308">
        <f>SUM(U7:U29)</f>
        <v>494380.02039999975</v>
      </c>
      <c r="V30" s="309"/>
      <c r="W30" s="309"/>
      <c r="X30" s="310">
        <f>SUM(X7:X25)</f>
        <v>29889.31</v>
      </c>
      <c r="Y30" s="308">
        <f>N(U30) + N(X30)-X10</f>
        <v>494380.02039999975</v>
      </c>
    </row>
    <row r="31" spans="1:29" x14ac:dyDescent="0.35">
      <c r="AA31" s="311"/>
      <c r="AB31" s="311"/>
      <c r="AC31" s="311"/>
    </row>
  </sheetData>
  <printOptions horizontalCentered="1"/>
  <pageMargins left="0.75" right="0.75" top="1" bottom="1" header="0.511811023622047" footer="0.511811023622047"/>
  <pageSetup paperSize="8" orientation="landscape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5"/>
  <sheetViews>
    <sheetView zoomScaleNormal="100" workbookViewId="0">
      <selection activeCell="A2" sqref="A2"/>
    </sheetView>
  </sheetViews>
  <sheetFormatPr defaultColWidth="8.6328125" defaultRowHeight="14.5" x14ac:dyDescent="0.35"/>
  <cols>
    <col min="1" max="1" width="36" customWidth="1"/>
    <col min="3" max="3" width="12.7265625" customWidth="1"/>
  </cols>
  <sheetData>
    <row r="1" spans="1:3" x14ac:dyDescent="0.35">
      <c r="A1" s="312" t="s">
        <v>246</v>
      </c>
      <c r="C1" s="312" t="s">
        <v>287</v>
      </c>
    </row>
    <row r="2" spans="1:3" x14ac:dyDescent="0.35">
      <c r="A2" t="s">
        <v>167</v>
      </c>
      <c r="C2">
        <v>11</v>
      </c>
    </row>
    <row r="3" spans="1:3" x14ac:dyDescent="0.35">
      <c r="A3" t="s">
        <v>170</v>
      </c>
    </row>
    <row r="4" spans="1:3" x14ac:dyDescent="0.35">
      <c r="A4" t="s">
        <v>173</v>
      </c>
    </row>
    <row r="5" spans="1:3" x14ac:dyDescent="0.35">
      <c r="A5" t="s">
        <v>271</v>
      </c>
    </row>
    <row r="6" spans="1:3" x14ac:dyDescent="0.35">
      <c r="A6" t="s">
        <v>273</v>
      </c>
    </row>
    <row r="7" spans="1:3" x14ac:dyDescent="0.35">
      <c r="A7" t="s">
        <v>182</v>
      </c>
    </row>
    <row r="8" spans="1:3" x14ac:dyDescent="0.35">
      <c r="A8" t="s">
        <v>185</v>
      </c>
    </row>
    <row r="9" spans="1:3" x14ac:dyDescent="0.35">
      <c r="A9" t="s">
        <v>188</v>
      </c>
    </row>
    <row r="10" spans="1:3" x14ac:dyDescent="0.35">
      <c r="A10" t="s">
        <v>191</v>
      </c>
    </row>
    <row r="11" spans="1:3" x14ac:dyDescent="0.35">
      <c r="A11" t="s">
        <v>274</v>
      </c>
    </row>
    <row r="12" spans="1:3" x14ac:dyDescent="0.35">
      <c r="A12" t="s">
        <v>275</v>
      </c>
    </row>
    <row r="13" spans="1:3" x14ac:dyDescent="0.35">
      <c r="A13" t="s">
        <v>276</v>
      </c>
    </row>
    <row r="14" spans="1:3" x14ac:dyDescent="0.35">
      <c r="A14" t="s">
        <v>277</v>
      </c>
    </row>
    <row r="15" spans="1:3" x14ac:dyDescent="0.35">
      <c r="A15" t="s">
        <v>278</v>
      </c>
    </row>
    <row r="16" spans="1:3" x14ac:dyDescent="0.35">
      <c r="A16" t="s">
        <v>279</v>
      </c>
    </row>
    <row r="17" spans="1:1" x14ac:dyDescent="0.35">
      <c r="A17" t="s">
        <v>280</v>
      </c>
    </row>
    <row r="18" spans="1:1" x14ac:dyDescent="0.35">
      <c r="A18" t="s">
        <v>281</v>
      </c>
    </row>
    <row r="19" spans="1:1" x14ac:dyDescent="0.35">
      <c r="A19" t="s">
        <v>282</v>
      </c>
    </row>
    <row r="20" spans="1:1" x14ac:dyDescent="0.35">
      <c r="A20" t="s">
        <v>283</v>
      </c>
    </row>
    <row r="21" spans="1:1" x14ac:dyDescent="0.35">
      <c r="A21" s="313" t="s">
        <v>284</v>
      </c>
    </row>
    <row r="22" spans="1:1" x14ac:dyDescent="0.35">
      <c r="A22" s="313" t="s">
        <v>285</v>
      </c>
    </row>
    <row r="23" spans="1:1" x14ac:dyDescent="0.35">
      <c r="A23" s="313" t="str">
        <f>'Site Instructions &amp; Variations'!B2</f>
        <v>Wallaby Beach Accommodation</v>
      </c>
    </row>
    <row r="24" spans="1:1" x14ac:dyDescent="0.35">
      <c r="A24" t="s">
        <v>288</v>
      </c>
    </row>
    <row r="25" spans="1:1" x14ac:dyDescent="0.35">
      <c r="A25">
        <f>'Site Instructions &amp; Variations'!B4</f>
        <v>0</v>
      </c>
    </row>
  </sheetData>
  <sheetProtection sheet="1" objects="1" scenarios="1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P526"/>
  <sheetViews>
    <sheetView zoomScale="85" zoomScaleNormal="85" workbookViewId="0">
      <pane ySplit="1" topLeftCell="A2" activePane="bottomLeft" state="frozen"/>
      <selection pane="bottomLeft" activeCell="A34" sqref="A34"/>
    </sheetView>
  </sheetViews>
  <sheetFormatPr defaultColWidth="9.1796875" defaultRowHeight="14.5" x14ac:dyDescent="0.35"/>
  <cols>
    <col min="1" max="1" width="12" style="314" customWidth="1"/>
    <col min="2" max="2" width="36" style="314" customWidth="1"/>
    <col min="3" max="5" width="16" style="314" customWidth="1"/>
    <col min="6" max="6" width="23.1796875" style="314" customWidth="1"/>
    <col min="7" max="7" width="12" style="314" customWidth="1"/>
    <col min="8" max="8" width="14" style="314" customWidth="1"/>
    <col min="9" max="9" width="12" style="314" customWidth="1"/>
    <col min="10" max="12" width="14" style="314" customWidth="1"/>
    <col min="13" max="13" width="10" style="314" customWidth="1"/>
    <col min="14" max="14" width="12" style="314" customWidth="1"/>
    <col min="15" max="15" width="49.453125" style="314" customWidth="1"/>
    <col min="16" max="16" width="9.1796875" style="315"/>
    <col min="17" max="16384" width="9.1796875" style="316"/>
  </cols>
  <sheetData>
    <row r="1" spans="1:15" x14ac:dyDescent="0.35">
      <c r="A1" s="317" t="s">
        <v>38</v>
      </c>
      <c r="B1" s="317" t="s">
        <v>246</v>
      </c>
      <c r="C1" s="317" t="s">
        <v>247</v>
      </c>
      <c r="D1" s="317" t="s">
        <v>248</v>
      </c>
      <c r="E1" s="317" t="s">
        <v>289</v>
      </c>
      <c r="F1" s="318" t="s">
        <v>290</v>
      </c>
      <c r="G1" s="317" t="s">
        <v>291</v>
      </c>
      <c r="H1" s="317" t="s">
        <v>292</v>
      </c>
      <c r="I1" s="317" t="s">
        <v>293</v>
      </c>
      <c r="J1" s="317" t="s">
        <v>294</v>
      </c>
      <c r="K1" s="317" t="s">
        <v>295</v>
      </c>
      <c r="L1" s="317" t="s">
        <v>262</v>
      </c>
      <c r="M1" s="317" t="s">
        <v>263</v>
      </c>
      <c r="N1" s="317" t="s">
        <v>264</v>
      </c>
      <c r="O1" s="317" t="s">
        <v>296</v>
      </c>
    </row>
    <row r="2" spans="1:15" x14ac:dyDescent="0.35">
      <c r="A2" s="319">
        <v>45962</v>
      </c>
      <c r="B2" s="314" t="s">
        <v>276</v>
      </c>
      <c r="C2" s="314">
        <v>11.5</v>
      </c>
      <c r="D2" s="314">
        <v>0</v>
      </c>
      <c r="E2" s="314">
        <v>0</v>
      </c>
    </row>
    <row r="3" spans="1:15" x14ac:dyDescent="0.35">
      <c r="A3" s="319">
        <v>45962</v>
      </c>
      <c r="B3" s="314" t="s">
        <v>277</v>
      </c>
      <c r="C3" s="314">
        <v>11.5</v>
      </c>
      <c r="D3" s="314">
        <v>0</v>
      </c>
      <c r="E3" s="314">
        <v>0</v>
      </c>
    </row>
    <row r="4" spans="1:15" x14ac:dyDescent="0.35">
      <c r="A4" s="319">
        <v>45962</v>
      </c>
      <c r="B4" s="314" t="s">
        <v>278</v>
      </c>
      <c r="C4" s="314">
        <v>11.5</v>
      </c>
      <c r="D4" s="314">
        <v>0</v>
      </c>
      <c r="E4" s="314">
        <v>0</v>
      </c>
    </row>
    <row r="5" spans="1:15" x14ac:dyDescent="0.35">
      <c r="A5" s="319">
        <v>45962</v>
      </c>
      <c r="B5" s="314" t="s">
        <v>280</v>
      </c>
      <c r="C5" s="314">
        <v>11.5</v>
      </c>
      <c r="D5" s="314">
        <v>0</v>
      </c>
      <c r="E5" s="314">
        <v>0</v>
      </c>
    </row>
    <row r="6" spans="1:15" x14ac:dyDescent="0.35">
      <c r="A6" s="319">
        <v>45962</v>
      </c>
      <c r="B6" s="314" t="s">
        <v>281</v>
      </c>
      <c r="C6" s="314">
        <v>11.5</v>
      </c>
      <c r="D6" s="314">
        <v>0</v>
      </c>
      <c r="E6" s="314">
        <v>0</v>
      </c>
    </row>
    <row r="7" spans="1:15" x14ac:dyDescent="0.35">
      <c r="A7" s="319">
        <v>45962</v>
      </c>
      <c r="B7" s="314" t="s">
        <v>173</v>
      </c>
      <c r="C7" s="314">
        <v>7.8</v>
      </c>
      <c r="D7" s="314">
        <v>3.2</v>
      </c>
      <c r="E7" s="314">
        <v>0</v>
      </c>
      <c r="F7" s="314">
        <v>0</v>
      </c>
      <c r="O7" s="314" t="s">
        <v>297</v>
      </c>
    </row>
    <row r="8" spans="1:15" x14ac:dyDescent="0.35">
      <c r="A8" s="319">
        <v>45962</v>
      </c>
      <c r="B8" s="314" t="s">
        <v>167</v>
      </c>
      <c r="C8" s="314">
        <v>7</v>
      </c>
      <c r="D8" s="314">
        <v>4</v>
      </c>
      <c r="E8" s="314">
        <v>0</v>
      </c>
      <c r="F8" s="314">
        <v>0</v>
      </c>
      <c r="O8" s="314" t="s">
        <v>297</v>
      </c>
    </row>
    <row r="9" spans="1:15" x14ac:dyDescent="0.35">
      <c r="A9" s="319">
        <v>45962</v>
      </c>
      <c r="B9" s="314" t="s">
        <v>170</v>
      </c>
      <c r="C9" s="314">
        <v>7</v>
      </c>
      <c r="D9" s="314">
        <v>4</v>
      </c>
      <c r="E9" s="314">
        <v>0</v>
      </c>
      <c r="F9" s="314">
        <v>0</v>
      </c>
      <c r="O9" s="314" t="s">
        <v>297</v>
      </c>
    </row>
    <row r="10" spans="1:15" x14ac:dyDescent="0.35">
      <c r="A10" s="319">
        <v>45962</v>
      </c>
      <c r="B10" s="314" t="s">
        <v>271</v>
      </c>
      <c r="C10" s="314">
        <v>0</v>
      </c>
      <c r="D10" s="314">
        <v>0</v>
      </c>
      <c r="E10" s="314">
        <v>11</v>
      </c>
      <c r="F10" s="314">
        <v>0</v>
      </c>
      <c r="O10" s="314" t="s">
        <v>298</v>
      </c>
    </row>
    <row r="11" spans="1:15" x14ac:dyDescent="0.35">
      <c r="A11" s="319">
        <v>45962</v>
      </c>
      <c r="B11" s="314" t="s">
        <v>273</v>
      </c>
      <c r="C11" s="314">
        <v>8.9</v>
      </c>
      <c r="D11" s="314">
        <v>2.1</v>
      </c>
      <c r="E11" s="314">
        <v>0</v>
      </c>
      <c r="F11" s="314">
        <v>0</v>
      </c>
      <c r="O11" s="314" t="s">
        <v>297</v>
      </c>
    </row>
    <row r="12" spans="1:15" x14ac:dyDescent="0.35">
      <c r="A12" s="319">
        <v>45962</v>
      </c>
      <c r="B12" s="314" t="s">
        <v>185</v>
      </c>
      <c r="C12" s="314">
        <v>8</v>
      </c>
      <c r="D12" s="314">
        <v>3</v>
      </c>
      <c r="E12" s="314">
        <v>0</v>
      </c>
      <c r="F12" s="314">
        <v>0</v>
      </c>
      <c r="O12" s="314" t="s">
        <v>297</v>
      </c>
    </row>
    <row r="13" spans="1:15" x14ac:dyDescent="0.35">
      <c r="A13" s="319">
        <v>45962</v>
      </c>
      <c r="B13" s="314" t="s">
        <v>182</v>
      </c>
      <c r="C13" s="314">
        <v>1</v>
      </c>
      <c r="D13" s="314">
        <v>10</v>
      </c>
      <c r="E13" s="314">
        <v>0</v>
      </c>
      <c r="F13" s="314">
        <v>0</v>
      </c>
      <c r="O13" s="314" t="s">
        <v>297</v>
      </c>
    </row>
    <row r="14" spans="1:15" x14ac:dyDescent="0.35">
      <c r="A14" s="319">
        <v>45962</v>
      </c>
      <c r="B14" s="314" t="s">
        <v>188</v>
      </c>
      <c r="C14" s="314">
        <v>11</v>
      </c>
      <c r="D14" s="314">
        <v>0</v>
      </c>
      <c r="E14" s="314">
        <v>0</v>
      </c>
      <c r="F14" s="314">
        <v>0</v>
      </c>
    </row>
    <row r="15" spans="1:15" x14ac:dyDescent="0.35">
      <c r="A15" s="319">
        <v>45962</v>
      </c>
      <c r="B15" s="314" t="s">
        <v>191</v>
      </c>
      <c r="C15" s="314">
        <v>11</v>
      </c>
      <c r="D15" s="314">
        <v>0</v>
      </c>
      <c r="E15" s="314">
        <v>0</v>
      </c>
      <c r="F15" s="314">
        <v>0</v>
      </c>
    </row>
    <row r="16" spans="1:15" x14ac:dyDescent="0.35">
      <c r="A16" s="319">
        <v>45962</v>
      </c>
      <c r="B16" s="314" t="s">
        <v>274</v>
      </c>
      <c r="C16" s="314">
        <v>0</v>
      </c>
      <c r="D16" s="314">
        <v>0</v>
      </c>
      <c r="E16" s="314">
        <v>0</v>
      </c>
      <c r="F16" s="314">
        <v>0</v>
      </c>
    </row>
    <row r="17" spans="1:15" x14ac:dyDescent="0.35">
      <c r="A17" s="319">
        <v>45962</v>
      </c>
      <c r="B17" s="314" t="s">
        <v>284</v>
      </c>
      <c r="C17" s="314">
        <v>0</v>
      </c>
      <c r="D17" s="314">
        <v>0</v>
      </c>
      <c r="E17" s="314">
        <v>0</v>
      </c>
      <c r="F17" s="314">
        <v>1</v>
      </c>
    </row>
    <row r="18" spans="1:15" x14ac:dyDescent="0.35">
      <c r="A18" s="319">
        <v>45962</v>
      </c>
      <c r="B18" s="314" t="s">
        <v>285</v>
      </c>
      <c r="C18" s="314">
        <v>0</v>
      </c>
      <c r="D18" s="314">
        <v>0</v>
      </c>
      <c r="E18" s="314">
        <v>0</v>
      </c>
      <c r="F18" s="314">
        <v>1</v>
      </c>
    </row>
    <row r="19" spans="1:15" x14ac:dyDescent="0.35">
      <c r="A19" s="319">
        <v>45963</v>
      </c>
      <c r="B19" s="314" t="s">
        <v>276</v>
      </c>
      <c r="C19" s="314">
        <v>11.5</v>
      </c>
      <c r="D19" s="314">
        <v>0</v>
      </c>
      <c r="E19" s="314">
        <v>0</v>
      </c>
    </row>
    <row r="20" spans="1:15" x14ac:dyDescent="0.35">
      <c r="A20" s="319">
        <v>45963</v>
      </c>
      <c r="B20" s="314" t="s">
        <v>277</v>
      </c>
      <c r="C20" s="314">
        <v>11.5</v>
      </c>
      <c r="D20" s="314">
        <v>0</v>
      </c>
      <c r="E20" s="314">
        <v>0</v>
      </c>
    </row>
    <row r="21" spans="1:15" x14ac:dyDescent="0.35">
      <c r="A21" s="319">
        <v>45963</v>
      </c>
      <c r="B21" s="314" t="s">
        <v>278</v>
      </c>
      <c r="C21" s="314">
        <v>11.5</v>
      </c>
      <c r="D21" s="314">
        <v>0</v>
      </c>
      <c r="E21" s="314">
        <v>0</v>
      </c>
    </row>
    <row r="22" spans="1:15" x14ac:dyDescent="0.35">
      <c r="A22" s="319">
        <v>45963</v>
      </c>
      <c r="B22" s="314" t="s">
        <v>280</v>
      </c>
      <c r="C22" s="314">
        <v>11.5</v>
      </c>
      <c r="D22" s="314">
        <v>0</v>
      </c>
      <c r="E22" s="314">
        <v>0</v>
      </c>
    </row>
    <row r="23" spans="1:15" x14ac:dyDescent="0.35">
      <c r="A23" s="319">
        <v>45963</v>
      </c>
      <c r="B23" s="314" t="s">
        <v>281</v>
      </c>
      <c r="C23" s="314">
        <v>11.5</v>
      </c>
      <c r="D23" s="314">
        <v>0</v>
      </c>
      <c r="E23" s="314">
        <v>0</v>
      </c>
    </row>
    <row r="24" spans="1:15" x14ac:dyDescent="0.35">
      <c r="A24" s="319">
        <v>45963</v>
      </c>
      <c r="B24" s="314" t="s">
        <v>173</v>
      </c>
      <c r="C24" s="314">
        <v>2.1000000000003598</v>
      </c>
      <c r="D24" s="314">
        <v>8.8999999999996398</v>
      </c>
      <c r="E24" s="314">
        <v>0</v>
      </c>
      <c r="F24" s="314">
        <v>0</v>
      </c>
      <c r="O24" s="314" t="s">
        <v>297</v>
      </c>
    </row>
    <row r="25" spans="1:15" x14ac:dyDescent="0.35">
      <c r="A25" s="319">
        <v>45963</v>
      </c>
      <c r="B25" s="314" t="s">
        <v>167</v>
      </c>
      <c r="C25" s="314">
        <v>7</v>
      </c>
      <c r="D25" s="314">
        <v>4</v>
      </c>
      <c r="E25" s="314">
        <v>0</v>
      </c>
      <c r="F25" s="314">
        <v>0</v>
      </c>
      <c r="O25" s="314" t="s">
        <v>297</v>
      </c>
    </row>
    <row r="26" spans="1:15" x14ac:dyDescent="0.35">
      <c r="A26" s="319">
        <v>45963</v>
      </c>
      <c r="B26" s="314" t="s">
        <v>170</v>
      </c>
      <c r="C26" s="314">
        <v>8</v>
      </c>
      <c r="D26" s="314">
        <v>3</v>
      </c>
      <c r="E26" s="314">
        <v>0</v>
      </c>
      <c r="F26" s="314">
        <v>0</v>
      </c>
      <c r="O26" s="314" t="s">
        <v>297</v>
      </c>
    </row>
    <row r="27" spans="1:15" x14ac:dyDescent="0.35">
      <c r="A27" s="319">
        <v>45963</v>
      </c>
      <c r="B27" s="314" t="s">
        <v>271</v>
      </c>
      <c r="C27" s="314">
        <v>0</v>
      </c>
      <c r="D27" s="314">
        <v>0</v>
      </c>
      <c r="E27" s="314">
        <v>11</v>
      </c>
      <c r="F27" s="314">
        <v>0</v>
      </c>
      <c r="O27" s="314" t="s">
        <v>298</v>
      </c>
    </row>
    <row r="28" spans="1:15" x14ac:dyDescent="0.35">
      <c r="A28" s="319">
        <v>45963</v>
      </c>
      <c r="B28" s="314" t="s">
        <v>273</v>
      </c>
      <c r="C28" s="314">
        <v>8.5</v>
      </c>
      <c r="D28" s="314">
        <v>2.5</v>
      </c>
      <c r="E28" s="314">
        <v>0</v>
      </c>
      <c r="F28" s="314">
        <v>0</v>
      </c>
      <c r="O28" s="314" t="s">
        <v>297</v>
      </c>
    </row>
    <row r="29" spans="1:15" x14ac:dyDescent="0.35">
      <c r="A29" s="319">
        <v>45963</v>
      </c>
      <c r="B29" s="314" t="s">
        <v>185</v>
      </c>
      <c r="C29" s="314">
        <v>10</v>
      </c>
      <c r="D29" s="314">
        <v>1</v>
      </c>
      <c r="E29" s="314">
        <v>0</v>
      </c>
      <c r="F29" s="314">
        <v>0</v>
      </c>
      <c r="O29" s="314" t="s">
        <v>297</v>
      </c>
    </row>
    <row r="30" spans="1:15" x14ac:dyDescent="0.35">
      <c r="A30" s="319">
        <v>45963</v>
      </c>
      <c r="B30" s="314" t="s">
        <v>182</v>
      </c>
      <c r="C30" s="314">
        <v>1</v>
      </c>
      <c r="D30" s="314">
        <v>10</v>
      </c>
      <c r="E30" s="314">
        <v>0</v>
      </c>
      <c r="F30" s="314">
        <v>0</v>
      </c>
      <c r="O30" s="314" t="s">
        <v>297</v>
      </c>
    </row>
    <row r="31" spans="1:15" x14ac:dyDescent="0.35">
      <c r="A31" s="319">
        <v>45963</v>
      </c>
      <c r="B31" s="314" t="s">
        <v>188</v>
      </c>
      <c r="C31" s="314">
        <v>11</v>
      </c>
      <c r="D31" s="314">
        <v>0</v>
      </c>
      <c r="E31" s="314">
        <v>0</v>
      </c>
      <c r="F31" s="314">
        <v>0</v>
      </c>
    </row>
    <row r="32" spans="1:15" x14ac:dyDescent="0.35">
      <c r="A32" s="319">
        <v>45963</v>
      </c>
      <c r="B32" s="314" t="s">
        <v>191</v>
      </c>
      <c r="C32" s="314">
        <v>11</v>
      </c>
      <c r="D32" s="314">
        <v>0</v>
      </c>
      <c r="E32" s="314">
        <v>0</v>
      </c>
      <c r="F32" s="314">
        <v>0</v>
      </c>
    </row>
    <row r="33" spans="1:15" x14ac:dyDescent="0.35">
      <c r="A33" s="319">
        <v>45963</v>
      </c>
      <c r="B33" s="314" t="s">
        <v>274</v>
      </c>
      <c r="C33" s="314">
        <v>0</v>
      </c>
      <c r="D33" s="314">
        <v>0</v>
      </c>
      <c r="E33" s="314">
        <v>0</v>
      </c>
      <c r="F33" s="314">
        <v>0</v>
      </c>
    </row>
    <row r="34" spans="1:15" x14ac:dyDescent="0.35">
      <c r="A34" s="319">
        <v>45963</v>
      </c>
      <c r="B34" s="314" t="s">
        <v>284</v>
      </c>
      <c r="C34" s="314">
        <v>0</v>
      </c>
      <c r="D34" s="314">
        <v>0</v>
      </c>
      <c r="E34" s="314">
        <v>0</v>
      </c>
      <c r="F34" s="314">
        <v>1</v>
      </c>
    </row>
    <row r="35" spans="1:15" x14ac:dyDescent="0.35">
      <c r="A35" s="319">
        <v>45963</v>
      </c>
      <c r="B35" s="314" t="s">
        <v>285</v>
      </c>
      <c r="C35" s="314">
        <v>0</v>
      </c>
      <c r="D35" s="314">
        <v>0</v>
      </c>
      <c r="E35" s="314">
        <v>0</v>
      </c>
      <c r="F35" s="314">
        <v>1</v>
      </c>
    </row>
    <row r="36" spans="1:15" x14ac:dyDescent="0.35">
      <c r="A36" s="319">
        <v>45964</v>
      </c>
      <c r="B36" s="314" t="s">
        <v>276</v>
      </c>
      <c r="C36" s="314">
        <v>11.5</v>
      </c>
      <c r="D36" s="314">
        <v>0</v>
      </c>
      <c r="E36" s="314">
        <v>0</v>
      </c>
    </row>
    <row r="37" spans="1:15" x14ac:dyDescent="0.35">
      <c r="A37" s="319">
        <v>45964</v>
      </c>
      <c r="B37" s="314" t="s">
        <v>277</v>
      </c>
      <c r="C37" s="314">
        <v>11.5</v>
      </c>
      <c r="D37" s="314">
        <v>0</v>
      </c>
      <c r="E37" s="314">
        <v>0</v>
      </c>
    </row>
    <row r="38" spans="1:15" x14ac:dyDescent="0.35">
      <c r="A38" s="319">
        <v>45964</v>
      </c>
      <c r="B38" s="314" t="s">
        <v>278</v>
      </c>
      <c r="C38" s="314">
        <v>11.5</v>
      </c>
      <c r="D38" s="314">
        <v>0</v>
      </c>
      <c r="E38" s="314">
        <v>0</v>
      </c>
    </row>
    <row r="39" spans="1:15" x14ac:dyDescent="0.35">
      <c r="A39" s="319">
        <v>45964</v>
      </c>
      <c r="B39" s="314" t="s">
        <v>280</v>
      </c>
      <c r="C39" s="314">
        <v>11.5</v>
      </c>
      <c r="D39" s="314">
        <v>0</v>
      </c>
      <c r="E39" s="314">
        <v>0</v>
      </c>
    </row>
    <row r="40" spans="1:15" x14ac:dyDescent="0.35">
      <c r="A40" s="319">
        <v>45964</v>
      </c>
      <c r="B40" s="314" t="s">
        <v>281</v>
      </c>
      <c r="C40" s="314">
        <v>11.5</v>
      </c>
      <c r="D40" s="314">
        <v>0</v>
      </c>
      <c r="E40" s="314">
        <v>0</v>
      </c>
    </row>
    <row r="41" spans="1:15" x14ac:dyDescent="0.35">
      <c r="A41" s="319">
        <v>45964</v>
      </c>
      <c r="B41" s="314" t="s">
        <v>173</v>
      </c>
      <c r="C41" s="314">
        <v>0.19999999999890899</v>
      </c>
      <c r="D41" s="314">
        <v>10.8000000000011</v>
      </c>
      <c r="E41" s="314">
        <v>0</v>
      </c>
      <c r="F41" s="314">
        <v>0</v>
      </c>
      <c r="O41" s="314" t="s">
        <v>299</v>
      </c>
    </row>
    <row r="42" spans="1:15" x14ac:dyDescent="0.35">
      <c r="A42" s="319">
        <v>45964</v>
      </c>
      <c r="B42" s="314" t="s">
        <v>167</v>
      </c>
      <c r="C42" s="314">
        <v>8</v>
      </c>
      <c r="D42" s="314">
        <v>3</v>
      </c>
      <c r="E42" s="314">
        <v>0</v>
      </c>
      <c r="F42" s="314">
        <v>0</v>
      </c>
      <c r="O42" s="314" t="s">
        <v>299</v>
      </c>
    </row>
    <row r="43" spans="1:15" x14ac:dyDescent="0.35">
      <c r="A43" s="319">
        <v>45964</v>
      </c>
      <c r="B43" s="314" t="s">
        <v>170</v>
      </c>
      <c r="C43" s="314">
        <v>8</v>
      </c>
      <c r="D43" s="314">
        <v>3</v>
      </c>
      <c r="E43" s="314">
        <v>0</v>
      </c>
      <c r="F43" s="314">
        <v>0</v>
      </c>
      <c r="O43" s="314" t="s">
        <v>299</v>
      </c>
    </row>
    <row r="44" spans="1:15" x14ac:dyDescent="0.35">
      <c r="A44" s="319">
        <v>45964</v>
      </c>
      <c r="B44" s="314" t="s">
        <v>271</v>
      </c>
      <c r="C44" s="314">
        <v>0</v>
      </c>
      <c r="D44" s="314">
        <v>0</v>
      </c>
      <c r="E44" s="314">
        <v>11</v>
      </c>
      <c r="F44" s="314">
        <v>0</v>
      </c>
      <c r="O44" s="314" t="s">
        <v>298</v>
      </c>
    </row>
    <row r="45" spans="1:15" x14ac:dyDescent="0.35">
      <c r="A45" s="319">
        <v>45964</v>
      </c>
      <c r="B45" s="314" t="s">
        <v>273</v>
      </c>
      <c r="C45" s="314">
        <v>9.1000000000003602</v>
      </c>
      <c r="D45" s="314">
        <v>1.89999999999964</v>
      </c>
      <c r="E45" s="314">
        <v>0</v>
      </c>
      <c r="F45" s="314">
        <v>0</v>
      </c>
      <c r="O45" s="314" t="s">
        <v>299</v>
      </c>
    </row>
    <row r="46" spans="1:15" x14ac:dyDescent="0.35">
      <c r="A46" s="319">
        <v>45964</v>
      </c>
      <c r="B46" s="314" t="s">
        <v>185</v>
      </c>
      <c r="C46" s="314">
        <v>7</v>
      </c>
      <c r="D46" s="314">
        <v>4</v>
      </c>
      <c r="E46" s="314">
        <v>0</v>
      </c>
      <c r="F46" s="314">
        <v>0</v>
      </c>
      <c r="O46" s="314" t="s">
        <v>299</v>
      </c>
    </row>
    <row r="47" spans="1:15" x14ac:dyDescent="0.35">
      <c r="A47" s="319">
        <v>45964</v>
      </c>
      <c r="B47" s="314" t="s">
        <v>182</v>
      </c>
      <c r="C47" s="314">
        <v>2</v>
      </c>
      <c r="D47" s="314">
        <v>9</v>
      </c>
      <c r="E47" s="314">
        <v>0</v>
      </c>
      <c r="F47" s="314">
        <v>0</v>
      </c>
      <c r="O47" s="314" t="s">
        <v>299</v>
      </c>
    </row>
    <row r="48" spans="1:15" x14ac:dyDescent="0.35">
      <c r="A48" s="319">
        <v>45964</v>
      </c>
      <c r="B48" s="314" t="s">
        <v>188</v>
      </c>
      <c r="C48" s="314">
        <v>11</v>
      </c>
      <c r="D48" s="314">
        <v>0</v>
      </c>
      <c r="E48" s="314">
        <v>0</v>
      </c>
      <c r="F48" s="314">
        <v>0</v>
      </c>
    </row>
    <row r="49" spans="1:15" x14ac:dyDescent="0.35">
      <c r="A49" s="319">
        <v>45964</v>
      </c>
      <c r="B49" s="314" t="s">
        <v>191</v>
      </c>
      <c r="C49" s="314">
        <v>11</v>
      </c>
      <c r="D49" s="314">
        <v>0</v>
      </c>
      <c r="E49" s="314">
        <v>0</v>
      </c>
      <c r="F49" s="314">
        <v>0</v>
      </c>
    </row>
    <row r="50" spans="1:15" x14ac:dyDescent="0.35">
      <c r="A50" s="319">
        <v>45964</v>
      </c>
      <c r="B50" s="314" t="s">
        <v>274</v>
      </c>
      <c r="C50" s="314">
        <v>0</v>
      </c>
      <c r="D50" s="314">
        <v>0</v>
      </c>
      <c r="E50" s="314">
        <v>0</v>
      </c>
      <c r="F50" s="314">
        <v>0</v>
      </c>
    </row>
    <row r="51" spans="1:15" x14ac:dyDescent="0.35">
      <c r="A51" s="319">
        <v>45964</v>
      </c>
      <c r="B51" s="314" t="s">
        <v>284</v>
      </c>
      <c r="C51" s="314">
        <v>0</v>
      </c>
      <c r="D51" s="314">
        <v>0</v>
      </c>
      <c r="E51" s="314">
        <v>0</v>
      </c>
      <c r="F51" s="314">
        <v>1</v>
      </c>
    </row>
    <row r="52" spans="1:15" x14ac:dyDescent="0.35">
      <c r="A52" s="319">
        <v>45964</v>
      </c>
      <c r="B52" s="314" t="s">
        <v>285</v>
      </c>
      <c r="C52" s="314">
        <v>0</v>
      </c>
      <c r="D52" s="314">
        <v>0</v>
      </c>
      <c r="E52" s="314">
        <v>0</v>
      </c>
      <c r="F52" s="314">
        <v>1</v>
      </c>
    </row>
    <row r="53" spans="1:15" x14ac:dyDescent="0.35">
      <c r="A53" s="320">
        <v>45965</v>
      </c>
      <c r="B53" s="314" t="s">
        <v>276</v>
      </c>
      <c r="C53" s="314">
        <v>11.5</v>
      </c>
      <c r="D53" s="314">
        <v>0</v>
      </c>
      <c r="E53" s="314">
        <v>0</v>
      </c>
    </row>
    <row r="54" spans="1:15" x14ac:dyDescent="0.35">
      <c r="A54" s="320">
        <v>45965</v>
      </c>
      <c r="B54" s="314" t="s">
        <v>277</v>
      </c>
      <c r="C54" s="314">
        <v>11.5</v>
      </c>
      <c r="D54" s="314">
        <v>0</v>
      </c>
      <c r="E54" s="314">
        <v>0</v>
      </c>
    </row>
    <row r="55" spans="1:15" x14ac:dyDescent="0.35">
      <c r="A55" s="320">
        <v>45965</v>
      </c>
      <c r="B55" s="314" t="s">
        <v>278</v>
      </c>
      <c r="C55" s="314">
        <v>11.5</v>
      </c>
      <c r="D55" s="314">
        <v>0</v>
      </c>
      <c r="E55" s="314">
        <v>0</v>
      </c>
    </row>
    <row r="56" spans="1:15" x14ac:dyDescent="0.35">
      <c r="A56" s="320">
        <v>45965</v>
      </c>
      <c r="B56" s="314" t="s">
        <v>280</v>
      </c>
      <c r="C56" s="314">
        <v>11.5</v>
      </c>
      <c r="D56" s="314">
        <v>0</v>
      </c>
      <c r="E56" s="314">
        <v>0</v>
      </c>
    </row>
    <row r="57" spans="1:15" x14ac:dyDescent="0.35">
      <c r="A57" s="320">
        <v>45965</v>
      </c>
      <c r="B57" s="314" t="s">
        <v>281</v>
      </c>
      <c r="C57" s="314">
        <v>11.5</v>
      </c>
      <c r="D57" s="314">
        <v>0</v>
      </c>
      <c r="E57" s="314">
        <v>0</v>
      </c>
    </row>
    <row r="58" spans="1:15" x14ac:dyDescent="0.35">
      <c r="A58" s="320">
        <v>45965</v>
      </c>
      <c r="B58" s="314" t="s">
        <v>173</v>
      </c>
      <c r="C58" s="314">
        <v>0</v>
      </c>
      <c r="D58" s="314">
        <v>11</v>
      </c>
      <c r="E58" s="314">
        <v>0</v>
      </c>
      <c r="F58" s="314">
        <v>0</v>
      </c>
      <c r="O58" s="314" t="s">
        <v>300</v>
      </c>
    </row>
    <row r="59" spans="1:15" x14ac:dyDescent="0.35">
      <c r="A59" s="320">
        <v>45965</v>
      </c>
      <c r="B59" s="314" t="s">
        <v>167</v>
      </c>
      <c r="C59" s="314">
        <v>8</v>
      </c>
      <c r="D59" s="314">
        <v>3</v>
      </c>
      <c r="E59" s="314">
        <v>0</v>
      </c>
      <c r="F59" s="314">
        <v>0</v>
      </c>
      <c r="O59" s="314" t="s">
        <v>299</v>
      </c>
    </row>
    <row r="60" spans="1:15" x14ac:dyDescent="0.35">
      <c r="A60" s="320">
        <v>45965</v>
      </c>
      <c r="B60" s="314" t="s">
        <v>170</v>
      </c>
      <c r="C60" s="314">
        <v>8</v>
      </c>
      <c r="D60" s="314">
        <v>3</v>
      </c>
      <c r="E60" s="314">
        <v>0</v>
      </c>
      <c r="F60" s="314">
        <v>0</v>
      </c>
      <c r="O60" s="314" t="s">
        <v>299</v>
      </c>
    </row>
    <row r="61" spans="1:15" x14ac:dyDescent="0.35">
      <c r="A61" s="320">
        <v>45965</v>
      </c>
      <c r="B61" s="314" t="s">
        <v>271</v>
      </c>
      <c r="C61" s="314">
        <v>0</v>
      </c>
      <c r="D61" s="314">
        <v>0</v>
      </c>
      <c r="E61" s="314">
        <v>11</v>
      </c>
      <c r="F61" s="314">
        <v>0</v>
      </c>
      <c r="O61" s="314" t="s">
        <v>298</v>
      </c>
    </row>
    <row r="62" spans="1:15" x14ac:dyDescent="0.35">
      <c r="A62" s="320">
        <v>45965</v>
      </c>
      <c r="B62" s="314" t="s">
        <v>273</v>
      </c>
      <c r="C62" s="314">
        <v>8.8000000000001801</v>
      </c>
      <c r="D62" s="314">
        <v>2.1999999999998199</v>
      </c>
      <c r="E62" s="314">
        <v>0</v>
      </c>
      <c r="F62" s="314">
        <v>0</v>
      </c>
      <c r="O62" s="314" t="s">
        <v>299</v>
      </c>
    </row>
    <row r="63" spans="1:15" x14ac:dyDescent="0.35">
      <c r="A63" s="320">
        <v>45965</v>
      </c>
      <c r="B63" s="314" t="s">
        <v>185</v>
      </c>
      <c r="C63" s="314">
        <v>10</v>
      </c>
      <c r="D63" s="314">
        <v>1</v>
      </c>
      <c r="E63" s="314">
        <v>0</v>
      </c>
      <c r="F63" s="314">
        <v>0</v>
      </c>
      <c r="O63" s="314" t="s">
        <v>299</v>
      </c>
    </row>
    <row r="64" spans="1:15" x14ac:dyDescent="0.35">
      <c r="A64" s="320">
        <v>45965</v>
      </c>
      <c r="B64" s="314" t="s">
        <v>182</v>
      </c>
      <c r="C64" s="314">
        <v>1</v>
      </c>
      <c r="D64" s="314">
        <v>10</v>
      </c>
      <c r="E64" s="314">
        <v>0</v>
      </c>
      <c r="F64" s="314">
        <v>0</v>
      </c>
      <c r="O64" s="314" t="s">
        <v>299</v>
      </c>
    </row>
    <row r="65" spans="1:15" x14ac:dyDescent="0.35">
      <c r="A65" s="320">
        <v>45965</v>
      </c>
      <c r="B65" s="314" t="s">
        <v>188</v>
      </c>
      <c r="C65" s="314">
        <v>11</v>
      </c>
      <c r="D65" s="314">
        <v>0</v>
      </c>
      <c r="E65" s="314">
        <v>0</v>
      </c>
      <c r="F65" s="314">
        <v>0</v>
      </c>
    </row>
    <row r="66" spans="1:15" x14ac:dyDescent="0.35">
      <c r="A66" s="320">
        <v>45965</v>
      </c>
      <c r="B66" s="314" t="s">
        <v>191</v>
      </c>
      <c r="C66" s="314">
        <v>11</v>
      </c>
      <c r="D66" s="314">
        <v>0</v>
      </c>
      <c r="E66" s="314">
        <v>0</v>
      </c>
      <c r="F66" s="314">
        <v>0</v>
      </c>
    </row>
    <row r="67" spans="1:15" x14ac:dyDescent="0.35">
      <c r="A67" s="320">
        <v>45965</v>
      </c>
      <c r="B67" s="314" t="s">
        <v>274</v>
      </c>
      <c r="C67" s="314">
        <v>0</v>
      </c>
      <c r="D67" s="314">
        <v>0</v>
      </c>
      <c r="E67" s="314">
        <v>0</v>
      </c>
      <c r="F67" s="314">
        <v>0</v>
      </c>
    </row>
    <row r="68" spans="1:15" x14ac:dyDescent="0.35">
      <c r="A68" s="320">
        <v>45965</v>
      </c>
      <c r="B68" s="314" t="s">
        <v>284</v>
      </c>
      <c r="C68" s="314">
        <v>0</v>
      </c>
      <c r="D68" s="314">
        <v>0</v>
      </c>
      <c r="E68" s="314">
        <v>0</v>
      </c>
      <c r="F68" s="314">
        <v>1</v>
      </c>
    </row>
    <row r="69" spans="1:15" x14ac:dyDescent="0.35">
      <c r="A69" s="320">
        <v>45965</v>
      </c>
      <c r="B69" s="314" t="s">
        <v>285</v>
      </c>
      <c r="C69" s="314">
        <v>0</v>
      </c>
      <c r="D69" s="314">
        <v>0</v>
      </c>
      <c r="E69" s="314">
        <v>0</v>
      </c>
      <c r="F69" s="314">
        <v>1</v>
      </c>
    </row>
    <row r="70" spans="1:15" x14ac:dyDescent="0.35">
      <c r="A70" s="319">
        <v>45966</v>
      </c>
      <c r="B70" s="314" t="s">
        <v>276</v>
      </c>
      <c r="C70" s="314">
        <v>11.5</v>
      </c>
      <c r="D70" s="314">
        <v>0</v>
      </c>
      <c r="E70" s="314">
        <v>0</v>
      </c>
    </row>
    <row r="71" spans="1:15" x14ac:dyDescent="0.35">
      <c r="A71" s="319">
        <v>45966</v>
      </c>
      <c r="B71" s="314" t="s">
        <v>277</v>
      </c>
      <c r="C71" s="314">
        <v>11.5</v>
      </c>
      <c r="D71" s="314">
        <v>0</v>
      </c>
      <c r="E71" s="314">
        <v>0</v>
      </c>
    </row>
    <row r="72" spans="1:15" x14ac:dyDescent="0.35">
      <c r="A72" s="319">
        <v>45966</v>
      </c>
      <c r="B72" s="314" t="s">
        <v>278</v>
      </c>
      <c r="C72" s="314">
        <v>11.5</v>
      </c>
      <c r="D72" s="314">
        <v>0</v>
      </c>
      <c r="E72" s="314">
        <v>0</v>
      </c>
    </row>
    <row r="73" spans="1:15" x14ac:dyDescent="0.35">
      <c r="A73" s="319">
        <v>45966</v>
      </c>
      <c r="B73" s="314" t="s">
        <v>280</v>
      </c>
      <c r="C73" s="314">
        <v>11.5</v>
      </c>
      <c r="D73" s="314">
        <v>0</v>
      </c>
      <c r="E73" s="314">
        <v>0</v>
      </c>
    </row>
    <row r="74" spans="1:15" x14ac:dyDescent="0.35">
      <c r="A74" s="319">
        <v>45966</v>
      </c>
      <c r="B74" s="314" t="s">
        <v>281</v>
      </c>
      <c r="C74" s="314">
        <v>11.5</v>
      </c>
      <c r="D74" s="314">
        <v>0</v>
      </c>
      <c r="E74" s="314">
        <v>0</v>
      </c>
    </row>
    <row r="75" spans="1:15" x14ac:dyDescent="0.35">
      <c r="A75" s="319">
        <v>45966</v>
      </c>
      <c r="B75" s="314" t="s">
        <v>173</v>
      </c>
      <c r="C75" s="314">
        <v>4.6000000000003602</v>
      </c>
      <c r="D75" s="314">
        <v>6.3999999999996398</v>
      </c>
      <c r="E75" s="314">
        <v>0</v>
      </c>
      <c r="F75" s="314">
        <v>0</v>
      </c>
      <c r="O75" s="314" t="s">
        <v>299</v>
      </c>
    </row>
    <row r="76" spans="1:15" x14ac:dyDescent="0.35">
      <c r="A76" s="319">
        <v>45966</v>
      </c>
      <c r="B76" s="314" t="s">
        <v>167</v>
      </c>
      <c r="C76" s="314">
        <v>7</v>
      </c>
      <c r="D76" s="314">
        <v>4</v>
      </c>
      <c r="E76" s="314">
        <v>0</v>
      </c>
      <c r="F76" s="314">
        <v>0</v>
      </c>
      <c r="O76" s="314" t="s">
        <v>299</v>
      </c>
    </row>
    <row r="77" spans="1:15" x14ac:dyDescent="0.35">
      <c r="A77" s="319">
        <v>45966</v>
      </c>
      <c r="B77" s="314" t="s">
        <v>170</v>
      </c>
      <c r="C77" s="314">
        <v>7</v>
      </c>
      <c r="D77" s="314">
        <v>4</v>
      </c>
      <c r="E77" s="314">
        <v>0</v>
      </c>
      <c r="F77" s="314">
        <v>0</v>
      </c>
      <c r="O77" s="314" t="s">
        <v>299</v>
      </c>
    </row>
    <row r="78" spans="1:15" x14ac:dyDescent="0.35">
      <c r="A78" s="319">
        <v>45966</v>
      </c>
      <c r="B78" s="314" t="s">
        <v>271</v>
      </c>
      <c r="C78" s="314">
        <v>0</v>
      </c>
      <c r="D78" s="314">
        <v>0</v>
      </c>
      <c r="E78" s="314">
        <v>11</v>
      </c>
      <c r="F78" s="314">
        <v>0</v>
      </c>
      <c r="O78" s="314" t="s">
        <v>298</v>
      </c>
    </row>
    <row r="79" spans="1:15" x14ac:dyDescent="0.35">
      <c r="A79" s="319">
        <v>45966</v>
      </c>
      <c r="B79" s="314" t="s">
        <v>273</v>
      </c>
      <c r="C79" s="314">
        <v>8.1999999999998199</v>
      </c>
      <c r="D79" s="314">
        <v>2.8000000000001801</v>
      </c>
      <c r="E79" s="314">
        <v>0</v>
      </c>
      <c r="F79" s="314">
        <v>0</v>
      </c>
      <c r="O79" s="314" t="s">
        <v>299</v>
      </c>
    </row>
    <row r="80" spans="1:15" x14ac:dyDescent="0.35">
      <c r="A80" s="319">
        <v>45966</v>
      </c>
      <c r="B80" s="314" t="s">
        <v>185</v>
      </c>
      <c r="C80" s="314">
        <v>7</v>
      </c>
      <c r="D80" s="314">
        <v>4</v>
      </c>
      <c r="E80" s="314">
        <v>0</v>
      </c>
      <c r="F80" s="314">
        <v>0</v>
      </c>
      <c r="O80" s="314" t="s">
        <v>299</v>
      </c>
    </row>
    <row r="81" spans="1:15" x14ac:dyDescent="0.35">
      <c r="A81" s="319">
        <v>45966</v>
      </c>
      <c r="B81" s="314" t="s">
        <v>182</v>
      </c>
      <c r="C81" s="314">
        <v>0</v>
      </c>
      <c r="D81" s="314">
        <v>11</v>
      </c>
      <c r="E81" s="314">
        <v>0</v>
      </c>
      <c r="F81" s="314">
        <v>0</v>
      </c>
      <c r="O81" s="314" t="s">
        <v>299</v>
      </c>
    </row>
    <row r="82" spans="1:15" x14ac:dyDescent="0.35">
      <c r="A82" s="319">
        <v>45966</v>
      </c>
      <c r="B82" s="314" t="s">
        <v>188</v>
      </c>
      <c r="C82" s="314">
        <v>11</v>
      </c>
      <c r="D82" s="314">
        <v>0</v>
      </c>
      <c r="E82" s="314">
        <v>0</v>
      </c>
      <c r="F82" s="314">
        <v>0</v>
      </c>
    </row>
    <row r="83" spans="1:15" x14ac:dyDescent="0.35">
      <c r="A83" s="319">
        <v>45966</v>
      </c>
      <c r="B83" s="314" t="s">
        <v>191</v>
      </c>
      <c r="C83" s="314">
        <v>11</v>
      </c>
      <c r="D83" s="314">
        <v>0</v>
      </c>
      <c r="E83" s="314">
        <v>0</v>
      </c>
      <c r="F83" s="314">
        <v>0</v>
      </c>
    </row>
    <row r="84" spans="1:15" x14ac:dyDescent="0.35">
      <c r="A84" s="319">
        <v>45966</v>
      </c>
      <c r="B84" s="314" t="s">
        <v>274</v>
      </c>
      <c r="C84" s="314">
        <v>0</v>
      </c>
      <c r="D84" s="314">
        <v>0</v>
      </c>
      <c r="E84" s="314">
        <v>0</v>
      </c>
      <c r="F84" s="314">
        <v>0</v>
      </c>
    </row>
    <row r="85" spans="1:15" x14ac:dyDescent="0.35">
      <c r="A85" s="319">
        <v>45966</v>
      </c>
      <c r="B85" s="314" t="s">
        <v>284</v>
      </c>
      <c r="C85" s="314">
        <v>0</v>
      </c>
      <c r="D85" s="314">
        <v>0</v>
      </c>
      <c r="E85" s="314">
        <v>0</v>
      </c>
      <c r="F85" s="314">
        <v>1</v>
      </c>
    </row>
    <row r="86" spans="1:15" x14ac:dyDescent="0.35">
      <c r="A86" s="319">
        <v>45966</v>
      </c>
      <c r="B86" s="314" t="s">
        <v>285</v>
      </c>
      <c r="C86" s="314">
        <v>0</v>
      </c>
      <c r="D86" s="314">
        <v>0</v>
      </c>
      <c r="E86" s="314">
        <v>0</v>
      </c>
      <c r="F86" s="314">
        <v>1</v>
      </c>
    </row>
    <row r="87" spans="1:15" x14ac:dyDescent="0.35">
      <c r="A87" s="319">
        <v>45967</v>
      </c>
      <c r="B87" s="314" t="s">
        <v>276</v>
      </c>
      <c r="C87" s="314">
        <v>11.5</v>
      </c>
      <c r="D87" s="314">
        <v>0</v>
      </c>
      <c r="E87" s="314">
        <v>0</v>
      </c>
    </row>
    <row r="88" spans="1:15" x14ac:dyDescent="0.35">
      <c r="A88" s="319">
        <v>45967</v>
      </c>
      <c r="B88" s="314" t="s">
        <v>277</v>
      </c>
      <c r="C88" s="314">
        <v>11.5</v>
      </c>
      <c r="D88" s="314">
        <v>0</v>
      </c>
      <c r="E88" s="314">
        <v>0</v>
      </c>
    </row>
    <row r="89" spans="1:15" x14ac:dyDescent="0.35">
      <c r="A89" s="319">
        <v>45967</v>
      </c>
      <c r="B89" s="314" t="s">
        <v>278</v>
      </c>
      <c r="C89" s="314">
        <v>11.5</v>
      </c>
      <c r="D89" s="314">
        <v>0</v>
      </c>
      <c r="E89" s="314">
        <v>0</v>
      </c>
    </row>
    <row r="90" spans="1:15" x14ac:dyDescent="0.35">
      <c r="A90" s="319">
        <v>45967</v>
      </c>
      <c r="B90" s="314" t="s">
        <v>280</v>
      </c>
      <c r="C90" s="314">
        <v>11.5</v>
      </c>
      <c r="D90" s="314">
        <v>0</v>
      </c>
      <c r="E90" s="314">
        <v>0</v>
      </c>
    </row>
    <row r="91" spans="1:15" x14ac:dyDescent="0.35">
      <c r="A91" s="319">
        <v>45967</v>
      </c>
      <c r="B91" s="314" t="s">
        <v>281</v>
      </c>
      <c r="C91" s="314">
        <v>11.5</v>
      </c>
      <c r="D91" s="314">
        <v>0</v>
      </c>
      <c r="E91" s="314">
        <v>0</v>
      </c>
    </row>
    <row r="92" spans="1:15" x14ac:dyDescent="0.35">
      <c r="A92" s="319">
        <v>45967</v>
      </c>
      <c r="B92" s="314" t="s">
        <v>173</v>
      </c>
      <c r="C92" s="314">
        <v>5.5</v>
      </c>
      <c r="D92" s="314">
        <v>5.5</v>
      </c>
      <c r="E92" s="314">
        <v>0</v>
      </c>
      <c r="F92" s="314">
        <v>0</v>
      </c>
      <c r="O92" s="314" t="s">
        <v>299</v>
      </c>
    </row>
    <row r="93" spans="1:15" x14ac:dyDescent="0.35">
      <c r="A93" s="319">
        <v>45967</v>
      </c>
      <c r="B93" s="314" t="s">
        <v>167</v>
      </c>
      <c r="C93" s="314">
        <v>8</v>
      </c>
      <c r="D93" s="314">
        <v>3</v>
      </c>
      <c r="E93" s="314">
        <v>0</v>
      </c>
      <c r="F93" s="314">
        <v>0</v>
      </c>
      <c r="O93" s="314" t="s">
        <v>299</v>
      </c>
    </row>
    <row r="94" spans="1:15" x14ac:dyDescent="0.35">
      <c r="A94" s="319">
        <v>45967</v>
      </c>
      <c r="B94" s="314" t="s">
        <v>170</v>
      </c>
      <c r="C94" s="314">
        <v>8</v>
      </c>
      <c r="D94" s="314">
        <v>3</v>
      </c>
      <c r="E94" s="314">
        <v>0</v>
      </c>
      <c r="F94" s="314">
        <v>0</v>
      </c>
      <c r="O94" s="314" t="s">
        <v>301</v>
      </c>
    </row>
    <row r="95" spans="1:15" x14ac:dyDescent="0.35">
      <c r="A95" s="319">
        <v>45967</v>
      </c>
      <c r="B95" s="314" t="s">
        <v>271</v>
      </c>
      <c r="C95" s="314">
        <v>0</v>
      </c>
      <c r="D95" s="314">
        <v>0</v>
      </c>
      <c r="E95" s="314">
        <v>11</v>
      </c>
      <c r="F95" s="314">
        <v>0</v>
      </c>
      <c r="O95" s="314" t="s">
        <v>298</v>
      </c>
    </row>
    <row r="96" spans="1:15" x14ac:dyDescent="0.35">
      <c r="A96" s="319">
        <v>45967</v>
      </c>
      <c r="B96" s="314" t="s">
        <v>273</v>
      </c>
      <c r="C96" s="314">
        <v>8.8999999999996398</v>
      </c>
      <c r="D96" s="314">
        <v>2.1000000000003598</v>
      </c>
      <c r="E96" s="314">
        <v>0</v>
      </c>
      <c r="F96" s="314">
        <v>0</v>
      </c>
      <c r="O96" s="314" t="s">
        <v>299</v>
      </c>
    </row>
    <row r="97" spans="1:15" x14ac:dyDescent="0.35">
      <c r="A97" s="319">
        <v>45967</v>
      </c>
      <c r="B97" s="314" t="s">
        <v>185</v>
      </c>
      <c r="C97" s="314">
        <v>9</v>
      </c>
      <c r="D97" s="314">
        <v>2</v>
      </c>
      <c r="E97" s="314">
        <v>0</v>
      </c>
      <c r="F97" s="314">
        <v>0</v>
      </c>
      <c r="O97" s="314" t="s">
        <v>299</v>
      </c>
    </row>
    <row r="98" spans="1:15" x14ac:dyDescent="0.35">
      <c r="A98" s="319">
        <v>45967</v>
      </c>
      <c r="B98" s="314" t="s">
        <v>182</v>
      </c>
      <c r="C98" s="314">
        <v>0</v>
      </c>
      <c r="D98" s="314">
        <v>11</v>
      </c>
      <c r="E98" s="314">
        <v>0</v>
      </c>
      <c r="F98" s="314">
        <v>0</v>
      </c>
      <c r="O98" s="314" t="s">
        <v>299</v>
      </c>
    </row>
    <row r="99" spans="1:15" x14ac:dyDescent="0.35">
      <c r="A99" s="319">
        <v>45967</v>
      </c>
      <c r="B99" s="314" t="s">
        <v>188</v>
      </c>
      <c r="C99" s="314">
        <v>11</v>
      </c>
      <c r="D99" s="314">
        <v>0</v>
      </c>
      <c r="E99" s="314">
        <v>0</v>
      </c>
      <c r="F99" s="314">
        <v>0</v>
      </c>
    </row>
    <row r="100" spans="1:15" x14ac:dyDescent="0.35">
      <c r="A100" s="319">
        <v>45967</v>
      </c>
      <c r="B100" s="314" t="s">
        <v>191</v>
      </c>
      <c r="C100" s="314">
        <v>11</v>
      </c>
      <c r="D100" s="314">
        <v>0</v>
      </c>
      <c r="E100" s="314">
        <v>0</v>
      </c>
      <c r="F100" s="314">
        <v>0</v>
      </c>
    </row>
    <row r="101" spans="1:15" x14ac:dyDescent="0.35">
      <c r="A101" s="319">
        <v>45967</v>
      </c>
      <c r="B101" s="314" t="s">
        <v>274</v>
      </c>
      <c r="C101" s="314">
        <v>0</v>
      </c>
      <c r="D101" s="314">
        <v>0</v>
      </c>
      <c r="E101" s="314">
        <v>0</v>
      </c>
      <c r="F101" s="314">
        <v>0</v>
      </c>
    </row>
    <row r="102" spans="1:15" x14ac:dyDescent="0.35">
      <c r="A102" s="319">
        <v>45967</v>
      </c>
      <c r="B102" s="314" t="s">
        <v>284</v>
      </c>
      <c r="C102" s="314">
        <v>0</v>
      </c>
      <c r="D102" s="314">
        <v>0</v>
      </c>
      <c r="E102" s="314">
        <v>0</v>
      </c>
      <c r="F102" s="314">
        <v>1</v>
      </c>
    </row>
    <row r="103" spans="1:15" x14ac:dyDescent="0.35">
      <c r="A103" s="319">
        <v>45967</v>
      </c>
      <c r="B103" s="314" t="s">
        <v>285</v>
      </c>
      <c r="C103" s="314">
        <v>0</v>
      </c>
      <c r="D103" s="314">
        <v>0</v>
      </c>
      <c r="E103" s="314">
        <v>0</v>
      </c>
      <c r="F103" s="314">
        <v>1</v>
      </c>
    </row>
    <row r="104" spans="1:15" x14ac:dyDescent="0.35">
      <c r="A104" s="319">
        <v>45968</v>
      </c>
      <c r="B104" s="314" t="s">
        <v>276</v>
      </c>
      <c r="C104" s="314">
        <v>11.5</v>
      </c>
      <c r="D104" s="314">
        <v>0</v>
      </c>
      <c r="E104" s="314">
        <v>0</v>
      </c>
    </row>
    <row r="105" spans="1:15" x14ac:dyDescent="0.35">
      <c r="A105" s="319">
        <v>45968</v>
      </c>
      <c r="B105" s="314" t="s">
        <v>277</v>
      </c>
      <c r="C105" s="314">
        <v>11.5</v>
      </c>
      <c r="D105" s="314">
        <v>0</v>
      </c>
      <c r="E105" s="314">
        <v>0</v>
      </c>
    </row>
    <row r="106" spans="1:15" x14ac:dyDescent="0.35">
      <c r="A106" s="319">
        <v>45968</v>
      </c>
      <c r="B106" s="314" t="s">
        <v>278</v>
      </c>
      <c r="C106" s="314">
        <v>11.5</v>
      </c>
      <c r="D106" s="314">
        <v>0</v>
      </c>
      <c r="E106" s="314">
        <v>0</v>
      </c>
    </row>
    <row r="107" spans="1:15" x14ac:dyDescent="0.35">
      <c r="A107" s="319">
        <v>45968</v>
      </c>
      <c r="B107" s="314" t="s">
        <v>280</v>
      </c>
      <c r="C107" s="314">
        <v>11.5</v>
      </c>
      <c r="D107" s="314">
        <v>0</v>
      </c>
      <c r="E107" s="314">
        <v>0</v>
      </c>
    </row>
    <row r="108" spans="1:15" x14ac:dyDescent="0.35">
      <c r="A108" s="319">
        <v>45968</v>
      </c>
      <c r="B108" s="314" t="s">
        <v>281</v>
      </c>
      <c r="C108" s="314">
        <v>11.5</v>
      </c>
      <c r="D108" s="314">
        <v>0</v>
      </c>
      <c r="E108" s="314">
        <v>0</v>
      </c>
    </row>
    <row r="109" spans="1:15" x14ac:dyDescent="0.35">
      <c r="A109" s="319">
        <v>45968</v>
      </c>
      <c r="B109" s="314" t="s">
        <v>173</v>
      </c>
      <c r="C109" s="314">
        <v>6.5</v>
      </c>
      <c r="D109" s="314">
        <v>4.5</v>
      </c>
      <c r="E109" s="314">
        <v>0</v>
      </c>
      <c r="F109" s="314">
        <v>0</v>
      </c>
      <c r="O109" s="314" t="s">
        <v>302</v>
      </c>
    </row>
    <row r="110" spans="1:15" x14ac:dyDescent="0.35">
      <c r="A110" s="319">
        <v>45968</v>
      </c>
      <c r="B110" s="314" t="s">
        <v>167</v>
      </c>
      <c r="C110" s="314">
        <v>7</v>
      </c>
      <c r="D110" s="314">
        <v>4</v>
      </c>
      <c r="E110" s="314">
        <v>0</v>
      </c>
      <c r="F110" s="314">
        <v>0</v>
      </c>
      <c r="O110" s="314" t="s">
        <v>299</v>
      </c>
    </row>
    <row r="111" spans="1:15" x14ac:dyDescent="0.35">
      <c r="A111" s="319">
        <v>45968</v>
      </c>
      <c r="B111" s="314" t="s">
        <v>170</v>
      </c>
      <c r="C111" s="314">
        <v>6</v>
      </c>
      <c r="D111" s="314">
        <v>5</v>
      </c>
      <c r="E111" s="314">
        <v>0</v>
      </c>
      <c r="F111" s="314">
        <v>0</v>
      </c>
      <c r="O111" s="314" t="s">
        <v>299</v>
      </c>
    </row>
    <row r="112" spans="1:15" x14ac:dyDescent="0.35">
      <c r="A112" s="319">
        <v>45968</v>
      </c>
      <c r="B112" s="314" t="s">
        <v>271</v>
      </c>
      <c r="C112" s="314">
        <v>0</v>
      </c>
      <c r="D112" s="314">
        <v>0</v>
      </c>
      <c r="E112" s="314">
        <v>11</v>
      </c>
      <c r="F112" s="314">
        <v>0</v>
      </c>
      <c r="O112" s="314" t="s">
        <v>298</v>
      </c>
    </row>
    <row r="113" spans="1:15" x14ac:dyDescent="0.35">
      <c r="A113" s="319">
        <v>45968</v>
      </c>
      <c r="B113" s="314" t="s">
        <v>273</v>
      </c>
      <c r="C113" s="314">
        <v>8.6999999999998199</v>
      </c>
      <c r="D113" s="314">
        <v>2.3000000000001801</v>
      </c>
      <c r="E113" s="314">
        <v>0</v>
      </c>
      <c r="F113" s="314">
        <v>0</v>
      </c>
      <c r="O113" s="314" t="s">
        <v>299</v>
      </c>
    </row>
    <row r="114" spans="1:15" x14ac:dyDescent="0.35">
      <c r="A114" s="319">
        <v>45968</v>
      </c>
      <c r="B114" s="314" t="s">
        <v>185</v>
      </c>
      <c r="C114" s="314">
        <v>7</v>
      </c>
      <c r="D114" s="314">
        <v>4</v>
      </c>
      <c r="E114" s="314">
        <v>0</v>
      </c>
      <c r="F114" s="314">
        <v>0</v>
      </c>
      <c r="O114" s="314" t="s">
        <v>299</v>
      </c>
    </row>
    <row r="115" spans="1:15" x14ac:dyDescent="0.35">
      <c r="A115" s="319">
        <v>45968</v>
      </c>
      <c r="B115" s="314" t="s">
        <v>182</v>
      </c>
      <c r="C115" s="314">
        <v>1.8000000000001799</v>
      </c>
      <c r="D115" s="314">
        <v>9.1999999999998199</v>
      </c>
      <c r="E115" s="314">
        <v>0</v>
      </c>
      <c r="F115" s="314">
        <v>0</v>
      </c>
      <c r="O115" s="314" t="s">
        <v>299</v>
      </c>
    </row>
    <row r="116" spans="1:15" x14ac:dyDescent="0.35">
      <c r="A116" s="319">
        <v>45968</v>
      </c>
      <c r="B116" s="314" t="s">
        <v>188</v>
      </c>
      <c r="C116" s="314">
        <v>11</v>
      </c>
      <c r="D116" s="314">
        <v>0</v>
      </c>
      <c r="E116" s="314">
        <v>0</v>
      </c>
      <c r="F116" s="314">
        <v>0</v>
      </c>
    </row>
    <row r="117" spans="1:15" x14ac:dyDescent="0.35">
      <c r="A117" s="319">
        <v>45968</v>
      </c>
      <c r="B117" s="314" t="s">
        <v>191</v>
      </c>
      <c r="C117" s="314">
        <v>11</v>
      </c>
      <c r="D117" s="314">
        <v>0</v>
      </c>
      <c r="E117" s="314">
        <v>0</v>
      </c>
      <c r="F117" s="314">
        <v>0</v>
      </c>
    </row>
    <row r="118" spans="1:15" x14ac:dyDescent="0.35">
      <c r="A118" s="319">
        <v>45968</v>
      </c>
      <c r="B118" s="314" t="s">
        <v>274</v>
      </c>
      <c r="C118" s="314">
        <v>0</v>
      </c>
      <c r="D118" s="314">
        <v>0</v>
      </c>
      <c r="E118" s="314">
        <v>0</v>
      </c>
      <c r="F118" s="314">
        <v>0</v>
      </c>
    </row>
    <row r="119" spans="1:15" x14ac:dyDescent="0.35">
      <c r="A119" s="319">
        <v>45968</v>
      </c>
      <c r="B119" s="314" t="s">
        <v>284</v>
      </c>
      <c r="C119" s="314">
        <v>0</v>
      </c>
      <c r="D119" s="314">
        <v>0</v>
      </c>
      <c r="E119" s="314">
        <v>0</v>
      </c>
      <c r="F119" s="314">
        <v>1</v>
      </c>
    </row>
    <row r="120" spans="1:15" x14ac:dyDescent="0.35">
      <c r="A120" s="319">
        <v>45968</v>
      </c>
      <c r="B120" s="314" t="s">
        <v>285</v>
      </c>
      <c r="C120" s="314">
        <v>0</v>
      </c>
      <c r="D120" s="314">
        <v>0</v>
      </c>
      <c r="E120" s="314">
        <v>0</v>
      </c>
      <c r="F120" s="314">
        <v>1</v>
      </c>
    </row>
    <row r="121" spans="1:15" x14ac:dyDescent="0.35">
      <c r="A121" s="319">
        <v>45969</v>
      </c>
      <c r="B121" s="314" t="s">
        <v>276</v>
      </c>
      <c r="C121" s="314">
        <v>11.5</v>
      </c>
      <c r="D121" s="314">
        <v>0</v>
      </c>
      <c r="E121" s="314">
        <v>0</v>
      </c>
    </row>
    <row r="122" spans="1:15" x14ac:dyDescent="0.35">
      <c r="A122" s="319">
        <v>45969</v>
      </c>
      <c r="B122" s="314" t="s">
        <v>277</v>
      </c>
      <c r="C122" s="314">
        <v>11.5</v>
      </c>
      <c r="D122" s="314">
        <v>0</v>
      </c>
      <c r="E122" s="314">
        <v>0</v>
      </c>
    </row>
    <row r="123" spans="1:15" x14ac:dyDescent="0.35">
      <c r="A123" s="319">
        <v>45969</v>
      </c>
      <c r="B123" s="314" t="s">
        <v>278</v>
      </c>
      <c r="C123" s="314">
        <v>11.5</v>
      </c>
      <c r="D123" s="314">
        <v>0</v>
      </c>
      <c r="E123" s="314">
        <v>0</v>
      </c>
    </row>
    <row r="124" spans="1:15" x14ac:dyDescent="0.35">
      <c r="A124" s="319">
        <v>45969</v>
      </c>
      <c r="B124" s="314" t="s">
        <v>280</v>
      </c>
      <c r="C124" s="314">
        <v>11.5</v>
      </c>
      <c r="D124" s="314">
        <v>0</v>
      </c>
      <c r="E124" s="314">
        <v>0</v>
      </c>
    </row>
    <row r="125" spans="1:15" x14ac:dyDescent="0.35">
      <c r="A125" s="319">
        <v>45969</v>
      </c>
      <c r="B125" s="314" t="s">
        <v>281</v>
      </c>
      <c r="C125" s="314">
        <v>11.5</v>
      </c>
      <c r="D125" s="314">
        <v>0</v>
      </c>
      <c r="E125" s="314">
        <v>0</v>
      </c>
    </row>
    <row r="126" spans="1:15" x14ac:dyDescent="0.35">
      <c r="A126" s="319">
        <v>45969</v>
      </c>
      <c r="B126" s="314" t="s">
        <v>173</v>
      </c>
      <c r="C126" s="314">
        <v>5.8999999999996398</v>
      </c>
      <c r="D126" s="314">
        <v>5.1000000000003602</v>
      </c>
      <c r="E126" s="314">
        <v>0</v>
      </c>
      <c r="F126" s="314">
        <v>0</v>
      </c>
      <c r="O126" s="314" t="s">
        <v>302</v>
      </c>
    </row>
    <row r="127" spans="1:15" x14ac:dyDescent="0.35">
      <c r="A127" s="319">
        <v>45969</v>
      </c>
      <c r="B127" s="314" t="s">
        <v>167</v>
      </c>
      <c r="C127" s="314">
        <v>7</v>
      </c>
      <c r="D127" s="314">
        <v>4</v>
      </c>
      <c r="E127" s="314">
        <v>0</v>
      </c>
      <c r="F127" s="314">
        <v>0</v>
      </c>
      <c r="O127" s="314" t="s">
        <v>299</v>
      </c>
    </row>
    <row r="128" spans="1:15" x14ac:dyDescent="0.35">
      <c r="A128" s="319">
        <v>45969</v>
      </c>
      <c r="B128" s="314" t="s">
        <v>170</v>
      </c>
      <c r="C128" s="314">
        <v>9</v>
      </c>
      <c r="D128" s="314">
        <v>2</v>
      </c>
      <c r="E128" s="314">
        <v>0</v>
      </c>
      <c r="F128" s="314">
        <v>0</v>
      </c>
      <c r="O128" s="314" t="s">
        <v>299</v>
      </c>
    </row>
    <row r="129" spans="1:15" x14ac:dyDescent="0.35">
      <c r="A129" s="319">
        <v>45969</v>
      </c>
      <c r="B129" s="314" t="s">
        <v>271</v>
      </c>
      <c r="C129" s="314">
        <v>0</v>
      </c>
      <c r="D129" s="314">
        <v>0</v>
      </c>
      <c r="E129" s="314">
        <v>11</v>
      </c>
      <c r="F129" s="314">
        <v>0</v>
      </c>
      <c r="O129" s="314" t="s">
        <v>298</v>
      </c>
    </row>
    <row r="130" spans="1:15" x14ac:dyDescent="0.35">
      <c r="A130" s="319">
        <v>45969</v>
      </c>
      <c r="B130" s="314" t="s">
        <v>273</v>
      </c>
      <c r="C130" s="314">
        <v>9</v>
      </c>
      <c r="D130" s="314">
        <v>2</v>
      </c>
      <c r="E130" s="314">
        <v>0</v>
      </c>
      <c r="F130" s="314">
        <v>0</v>
      </c>
      <c r="O130" s="314" t="s">
        <v>299</v>
      </c>
    </row>
    <row r="131" spans="1:15" x14ac:dyDescent="0.35">
      <c r="A131" s="319">
        <v>45969</v>
      </c>
      <c r="B131" s="314" t="s">
        <v>185</v>
      </c>
      <c r="C131" s="314">
        <v>10</v>
      </c>
      <c r="D131" s="314">
        <v>1</v>
      </c>
      <c r="E131" s="314">
        <v>0</v>
      </c>
      <c r="F131" s="314">
        <v>0</v>
      </c>
      <c r="O131" s="314" t="s">
        <v>299</v>
      </c>
    </row>
    <row r="132" spans="1:15" x14ac:dyDescent="0.35">
      <c r="A132" s="319">
        <v>45969</v>
      </c>
      <c r="B132" s="314" t="s">
        <v>182</v>
      </c>
      <c r="C132" s="314">
        <v>1</v>
      </c>
      <c r="D132" s="314">
        <v>10</v>
      </c>
      <c r="E132" s="314">
        <v>0</v>
      </c>
      <c r="F132" s="314">
        <v>0</v>
      </c>
      <c r="O132" s="314" t="s">
        <v>299</v>
      </c>
    </row>
    <row r="133" spans="1:15" x14ac:dyDescent="0.35">
      <c r="A133" s="319">
        <v>45969</v>
      </c>
      <c r="B133" s="314" t="s">
        <v>188</v>
      </c>
      <c r="C133" s="314">
        <v>11</v>
      </c>
      <c r="D133" s="314">
        <v>0</v>
      </c>
      <c r="E133" s="314">
        <v>0</v>
      </c>
      <c r="F133" s="314">
        <v>0</v>
      </c>
    </row>
    <row r="134" spans="1:15" x14ac:dyDescent="0.35">
      <c r="A134" s="319">
        <v>45969</v>
      </c>
      <c r="B134" s="314" t="s">
        <v>191</v>
      </c>
      <c r="C134" s="314">
        <v>11</v>
      </c>
      <c r="D134" s="314">
        <v>0</v>
      </c>
      <c r="E134" s="314">
        <v>0</v>
      </c>
      <c r="F134" s="314">
        <v>0</v>
      </c>
    </row>
    <row r="135" spans="1:15" x14ac:dyDescent="0.35">
      <c r="A135" s="319">
        <v>45969</v>
      </c>
      <c r="B135" s="314" t="s">
        <v>274</v>
      </c>
      <c r="C135" s="314">
        <v>0</v>
      </c>
      <c r="D135" s="314">
        <v>0</v>
      </c>
      <c r="E135" s="314">
        <v>0</v>
      </c>
      <c r="F135" s="314">
        <v>0</v>
      </c>
    </row>
    <row r="136" spans="1:15" x14ac:dyDescent="0.35">
      <c r="A136" s="319">
        <v>45969</v>
      </c>
      <c r="B136" s="314" t="s">
        <v>284</v>
      </c>
      <c r="C136" s="314">
        <v>0</v>
      </c>
      <c r="D136" s="314">
        <v>0</v>
      </c>
      <c r="E136" s="314">
        <v>0</v>
      </c>
      <c r="F136" s="314">
        <v>1</v>
      </c>
    </row>
    <row r="137" spans="1:15" x14ac:dyDescent="0.35">
      <c r="A137" s="319">
        <v>45969</v>
      </c>
      <c r="B137" s="314" t="s">
        <v>285</v>
      </c>
      <c r="C137" s="314">
        <v>0</v>
      </c>
      <c r="D137" s="314">
        <v>0</v>
      </c>
      <c r="E137" s="314">
        <v>0</v>
      </c>
      <c r="F137" s="314">
        <v>1</v>
      </c>
    </row>
    <row r="138" spans="1:15" x14ac:dyDescent="0.35">
      <c r="A138" s="319">
        <v>45970</v>
      </c>
      <c r="B138" s="314" t="s">
        <v>276</v>
      </c>
      <c r="C138" s="314">
        <v>0</v>
      </c>
      <c r="D138" s="314">
        <v>0</v>
      </c>
      <c r="E138" s="314">
        <v>0</v>
      </c>
    </row>
    <row r="139" spans="1:15" x14ac:dyDescent="0.35">
      <c r="A139" s="319">
        <v>45970</v>
      </c>
      <c r="B139" s="314" t="s">
        <v>277</v>
      </c>
      <c r="C139" s="314">
        <v>0</v>
      </c>
      <c r="D139" s="314">
        <v>0</v>
      </c>
      <c r="E139" s="314">
        <v>0</v>
      </c>
    </row>
    <row r="140" spans="1:15" x14ac:dyDescent="0.35">
      <c r="A140" s="319">
        <v>45970</v>
      </c>
      <c r="B140" s="314" t="s">
        <v>278</v>
      </c>
      <c r="C140" s="314">
        <v>0</v>
      </c>
      <c r="D140" s="314">
        <v>0</v>
      </c>
      <c r="E140" s="314">
        <v>0</v>
      </c>
    </row>
    <row r="141" spans="1:15" x14ac:dyDescent="0.35">
      <c r="A141" s="319">
        <v>45970</v>
      </c>
      <c r="B141" s="314" t="s">
        <v>280</v>
      </c>
      <c r="C141" s="314">
        <v>0</v>
      </c>
      <c r="D141" s="314">
        <v>0</v>
      </c>
      <c r="E141" s="314">
        <v>0</v>
      </c>
    </row>
    <row r="142" spans="1:15" x14ac:dyDescent="0.35">
      <c r="A142" s="319">
        <v>45970</v>
      </c>
      <c r="B142" s="314" t="s">
        <v>281</v>
      </c>
      <c r="C142" s="314">
        <v>0</v>
      </c>
      <c r="D142" s="314">
        <v>0</v>
      </c>
      <c r="E142" s="314">
        <v>0</v>
      </c>
    </row>
    <row r="143" spans="1:15" x14ac:dyDescent="0.35">
      <c r="A143" s="319">
        <v>45970</v>
      </c>
      <c r="B143" s="314" t="s">
        <v>173</v>
      </c>
      <c r="C143" s="314">
        <v>0</v>
      </c>
      <c r="D143" s="314">
        <v>0</v>
      </c>
      <c r="E143" s="314">
        <v>0</v>
      </c>
      <c r="F143" s="314">
        <v>0</v>
      </c>
    </row>
    <row r="144" spans="1:15" x14ac:dyDescent="0.35">
      <c r="A144" s="319">
        <v>45970</v>
      </c>
      <c r="B144" s="314" t="s">
        <v>167</v>
      </c>
      <c r="C144" s="314">
        <v>0</v>
      </c>
      <c r="D144" s="314">
        <v>0</v>
      </c>
      <c r="E144" s="314">
        <v>0</v>
      </c>
      <c r="F144" s="314">
        <v>0</v>
      </c>
    </row>
    <row r="145" spans="1:15" x14ac:dyDescent="0.35">
      <c r="A145" s="319">
        <v>45970</v>
      </c>
      <c r="B145" s="314" t="s">
        <v>170</v>
      </c>
      <c r="C145" s="314">
        <v>0</v>
      </c>
      <c r="D145" s="314">
        <v>0</v>
      </c>
      <c r="E145" s="314">
        <v>0</v>
      </c>
      <c r="F145" s="314">
        <v>0</v>
      </c>
    </row>
    <row r="146" spans="1:15" x14ac:dyDescent="0.35">
      <c r="A146" s="319">
        <v>45970</v>
      </c>
      <c r="B146" s="314" t="s">
        <v>271</v>
      </c>
      <c r="C146" s="314">
        <v>0</v>
      </c>
      <c r="D146" s="314">
        <v>0</v>
      </c>
      <c r="E146" s="314">
        <v>0</v>
      </c>
      <c r="F146" s="314">
        <v>0</v>
      </c>
    </row>
    <row r="147" spans="1:15" x14ac:dyDescent="0.35">
      <c r="A147" s="319">
        <v>45970</v>
      </c>
      <c r="B147" s="314" t="s">
        <v>273</v>
      </c>
      <c r="C147" s="314">
        <v>0</v>
      </c>
      <c r="D147" s="314">
        <v>0</v>
      </c>
      <c r="E147" s="314">
        <v>0</v>
      </c>
      <c r="F147" s="314">
        <v>0</v>
      </c>
    </row>
    <row r="148" spans="1:15" x14ac:dyDescent="0.35">
      <c r="A148" s="319">
        <v>45970</v>
      </c>
      <c r="B148" s="314" t="s">
        <v>185</v>
      </c>
      <c r="C148" s="314">
        <v>0</v>
      </c>
      <c r="D148" s="314">
        <v>0</v>
      </c>
      <c r="E148" s="314">
        <v>0</v>
      </c>
      <c r="F148" s="314">
        <v>0</v>
      </c>
    </row>
    <row r="149" spans="1:15" x14ac:dyDescent="0.35">
      <c r="A149" s="319">
        <v>45970</v>
      </c>
      <c r="B149" s="314" t="s">
        <v>182</v>
      </c>
      <c r="C149" s="314">
        <v>0</v>
      </c>
      <c r="D149" s="314">
        <v>0</v>
      </c>
      <c r="E149" s="314">
        <v>0</v>
      </c>
      <c r="F149" s="314">
        <v>0</v>
      </c>
    </row>
    <row r="150" spans="1:15" x14ac:dyDescent="0.35">
      <c r="A150" s="319">
        <v>45970</v>
      </c>
      <c r="B150" s="314" t="s">
        <v>188</v>
      </c>
      <c r="C150" s="314">
        <v>0</v>
      </c>
      <c r="D150" s="314">
        <v>0</v>
      </c>
      <c r="E150" s="314">
        <v>0</v>
      </c>
      <c r="F150" s="314">
        <v>0</v>
      </c>
    </row>
    <row r="151" spans="1:15" x14ac:dyDescent="0.35">
      <c r="A151" s="319">
        <v>45970</v>
      </c>
      <c r="B151" s="314" t="s">
        <v>191</v>
      </c>
      <c r="C151" s="314">
        <v>0</v>
      </c>
      <c r="D151" s="314">
        <v>0</v>
      </c>
      <c r="E151" s="314">
        <v>0</v>
      </c>
      <c r="F151" s="314">
        <v>0</v>
      </c>
    </row>
    <row r="152" spans="1:15" x14ac:dyDescent="0.35">
      <c r="A152" s="319">
        <v>45970</v>
      </c>
      <c r="B152" s="314" t="s">
        <v>274</v>
      </c>
      <c r="C152" s="314">
        <v>0</v>
      </c>
      <c r="D152" s="314">
        <v>0</v>
      </c>
      <c r="E152" s="314">
        <v>0</v>
      </c>
      <c r="F152" s="314">
        <v>0</v>
      </c>
    </row>
    <row r="153" spans="1:15" x14ac:dyDescent="0.35">
      <c r="A153" s="319">
        <v>45970</v>
      </c>
      <c r="B153" s="314" t="s">
        <v>284</v>
      </c>
      <c r="C153" s="314">
        <v>0</v>
      </c>
      <c r="D153" s="314">
        <v>0</v>
      </c>
      <c r="E153" s="314">
        <v>0</v>
      </c>
      <c r="F153" s="314">
        <v>0</v>
      </c>
      <c r="O153" s="314">
        <v>1</v>
      </c>
    </row>
    <row r="154" spans="1:15" x14ac:dyDescent="0.35">
      <c r="A154" s="319">
        <v>45970</v>
      </c>
      <c r="B154" s="314" t="s">
        <v>285</v>
      </c>
      <c r="C154" s="314">
        <v>0</v>
      </c>
      <c r="D154" s="314">
        <v>0</v>
      </c>
      <c r="E154" s="314">
        <v>0</v>
      </c>
      <c r="F154" s="314">
        <v>0</v>
      </c>
      <c r="O154" s="314">
        <v>1</v>
      </c>
    </row>
    <row r="155" spans="1:15" x14ac:dyDescent="0.35">
      <c r="A155" s="319">
        <v>45971</v>
      </c>
      <c r="B155" s="314" t="s">
        <v>276</v>
      </c>
      <c r="C155" s="314">
        <v>11.5</v>
      </c>
      <c r="D155" s="314">
        <v>0</v>
      </c>
      <c r="E155" s="314">
        <v>0</v>
      </c>
    </row>
    <row r="156" spans="1:15" x14ac:dyDescent="0.35">
      <c r="A156" s="319">
        <v>45971</v>
      </c>
      <c r="B156" s="314" t="s">
        <v>277</v>
      </c>
      <c r="C156" s="314">
        <v>11.5</v>
      </c>
      <c r="D156" s="314">
        <v>0</v>
      </c>
      <c r="E156" s="314">
        <v>0</v>
      </c>
    </row>
    <row r="157" spans="1:15" x14ac:dyDescent="0.35">
      <c r="A157" s="319">
        <v>45971</v>
      </c>
      <c r="B157" s="314" t="s">
        <v>278</v>
      </c>
      <c r="C157" s="314">
        <v>11.5</v>
      </c>
      <c r="D157" s="314">
        <v>0</v>
      </c>
      <c r="E157" s="314">
        <v>0</v>
      </c>
    </row>
    <row r="158" spans="1:15" x14ac:dyDescent="0.35">
      <c r="A158" s="319">
        <v>45971</v>
      </c>
      <c r="B158" s="314" t="s">
        <v>279</v>
      </c>
      <c r="C158" s="314">
        <v>10</v>
      </c>
      <c r="D158" s="314">
        <v>0</v>
      </c>
      <c r="E158" s="314">
        <v>0</v>
      </c>
    </row>
    <row r="159" spans="1:15" x14ac:dyDescent="0.35">
      <c r="A159" s="319">
        <v>45971</v>
      </c>
      <c r="B159" s="314" t="s">
        <v>280</v>
      </c>
      <c r="C159" s="314">
        <v>11.5</v>
      </c>
      <c r="D159" s="314">
        <v>0</v>
      </c>
      <c r="E159" s="314">
        <v>0</v>
      </c>
    </row>
    <row r="160" spans="1:15" x14ac:dyDescent="0.35">
      <c r="A160" s="319">
        <v>45971</v>
      </c>
      <c r="B160" s="314" t="s">
        <v>281</v>
      </c>
      <c r="C160" s="314">
        <v>11.5</v>
      </c>
      <c r="D160" s="314">
        <v>0</v>
      </c>
      <c r="E160" s="314">
        <v>0</v>
      </c>
    </row>
    <row r="161" spans="1:15" x14ac:dyDescent="0.35">
      <c r="A161" s="319">
        <v>45971</v>
      </c>
      <c r="B161" s="314" t="s">
        <v>173</v>
      </c>
      <c r="C161" s="314">
        <v>8.1000000000003602</v>
      </c>
      <c r="D161" s="314">
        <v>2.8999999999996402</v>
      </c>
      <c r="E161" s="314">
        <v>0</v>
      </c>
      <c r="F161" s="314">
        <v>0</v>
      </c>
      <c r="O161" s="314" t="s">
        <v>302</v>
      </c>
    </row>
    <row r="162" spans="1:15" x14ac:dyDescent="0.35">
      <c r="A162" s="319">
        <v>45971</v>
      </c>
      <c r="B162" s="314" t="s">
        <v>167</v>
      </c>
      <c r="C162" s="314">
        <v>7</v>
      </c>
      <c r="D162" s="314">
        <v>4</v>
      </c>
      <c r="E162" s="314">
        <v>0</v>
      </c>
      <c r="F162" s="314">
        <v>0</v>
      </c>
      <c r="O162" s="314" t="s">
        <v>303</v>
      </c>
    </row>
    <row r="163" spans="1:15" x14ac:dyDescent="0.35">
      <c r="A163" s="319">
        <v>45971</v>
      </c>
      <c r="B163" s="314" t="s">
        <v>170</v>
      </c>
      <c r="C163" s="314">
        <v>7</v>
      </c>
      <c r="D163" s="314">
        <v>4</v>
      </c>
      <c r="E163" s="314">
        <v>0</v>
      </c>
      <c r="F163" s="314">
        <v>0</v>
      </c>
      <c r="O163" s="314" t="s">
        <v>302</v>
      </c>
    </row>
    <row r="164" spans="1:15" x14ac:dyDescent="0.35">
      <c r="A164" s="319">
        <v>45971</v>
      </c>
      <c r="B164" s="314" t="s">
        <v>271</v>
      </c>
      <c r="C164" s="314">
        <v>0</v>
      </c>
      <c r="D164" s="314">
        <v>0</v>
      </c>
      <c r="E164" s="314">
        <v>11</v>
      </c>
      <c r="F164" s="314">
        <v>0</v>
      </c>
      <c r="O164" s="314" t="s">
        <v>298</v>
      </c>
    </row>
    <row r="165" spans="1:15" x14ac:dyDescent="0.35">
      <c r="A165" s="319">
        <v>45971</v>
      </c>
      <c r="B165" s="314" t="s">
        <v>273</v>
      </c>
      <c r="C165" s="314">
        <v>8.8000000000001801</v>
      </c>
      <c r="D165" s="314">
        <v>2.1999999999998199</v>
      </c>
      <c r="E165" s="314">
        <v>0</v>
      </c>
      <c r="F165" s="314">
        <v>0</v>
      </c>
      <c r="O165" s="314" t="s">
        <v>302</v>
      </c>
    </row>
    <row r="166" spans="1:15" x14ac:dyDescent="0.35">
      <c r="A166" s="319">
        <v>45971</v>
      </c>
      <c r="B166" s="314" t="s">
        <v>185</v>
      </c>
      <c r="C166" s="314">
        <v>8</v>
      </c>
      <c r="D166" s="314">
        <v>3</v>
      </c>
      <c r="E166" s="314">
        <v>0</v>
      </c>
      <c r="F166" s="314">
        <v>0</v>
      </c>
      <c r="O166" s="314" t="s">
        <v>302</v>
      </c>
    </row>
    <row r="167" spans="1:15" x14ac:dyDescent="0.35">
      <c r="A167" s="319">
        <v>45971</v>
      </c>
      <c r="B167" s="314" t="s">
        <v>182</v>
      </c>
      <c r="C167" s="314">
        <v>0</v>
      </c>
      <c r="D167" s="314">
        <v>11</v>
      </c>
      <c r="E167" s="314">
        <v>0</v>
      </c>
      <c r="F167" s="314">
        <v>0</v>
      </c>
      <c r="O167" s="314" t="s">
        <v>302</v>
      </c>
    </row>
    <row r="168" spans="1:15" x14ac:dyDescent="0.35">
      <c r="A168" s="319">
        <v>45971</v>
      </c>
      <c r="B168" s="314" t="s">
        <v>188</v>
      </c>
      <c r="C168" s="314">
        <v>11</v>
      </c>
      <c r="D168" s="314">
        <v>0</v>
      </c>
      <c r="E168" s="314">
        <v>0</v>
      </c>
      <c r="F168" s="314">
        <v>0</v>
      </c>
    </row>
    <row r="169" spans="1:15" x14ac:dyDescent="0.35">
      <c r="A169" s="319">
        <v>45971</v>
      </c>
      <c r="B169" s="314" t="s">
        <v>191</v>
      </c>
      <c r="C169" s="314">
        <v>11</v>
      </c>
      <c r="D169" s="314">
        <v>0</v>
      </c>
      <c r="E169" s="314">
        <v>0</v>
      </c>
      <c r="F169" s="314">
        <v>0</v>
      </c>
    </row>
    <row r="170" spans="1:15" x14ac:dyDescent="0.35">
      <c r="A170" s="319">
        <v>45971</v>
      </c>
      <c r="B170" s="314" t="s">
        <v>274</v>
      </c>
      <c r="C170" s="314">
        <v>0</v>
      </c>
      <c r="D170" s="314">
        <v>0</v>
      </c>
      <c r="E170" s="314">
        <v>0</v>
      </c>
      <c r="F170" s="314">
        <v>0</v>
      </c>
    </row>
    <row r="171" spans="1:15" x14ac:dyDescent="0.35">
      <c r="A171" s="319">
        <v>45971</v>
      </c>
      <c r="B171" s="314" t="s">
        <v>284</v>
      </c>
      <c r="C171" s="314">
        <v>0</v>
      </c>
      <c r="D171" s="314">
        <v>0</v>
      </c>
      <c r="E171" s="314">
        <v>0</v>
      </c>
      <c r="F171" s="314">
        <v>1</v>
      </c>
    </row>
    <row r="172" spans="1:15" x14ac:dyDescent="0.35">
      <c r="A172" s="319">
        <v>45971</v>
      </c>
      <c r="B172" s="314" t="s">
        <v>285</v>
      </c>
      <c r="C172" s="314">
        <v>0</v>
      </c>
      <c r="D172" s="314">
        <v>0</v>
      </c>
      <c r="E172" s="314">
        <v>0</v>
      </c>
      <c r="F172" s="314">
        <v>1</v>
      </c>
    </row>
    <row r="173" spans="1:15" x14ac:dyDescent="0.35">
      <c r="A173" s="319">
        <v>45972</v>
      </c>
      <c r="B173" s="314" t="s">
        <v>276</v>
      </c>
      <c r="C173" s="314">
        <v>11.5</v>
      </c>
      <c r="D173" s="314">
        <v>0</v>
      </c>
      <c r="E173" s="314">
        <v>0</v>
      </c>
    </row>
    <row r="174" spans="1:15" x14ac:dyDescent="0.35">
      <c r="A174" s="319">
        <v>45972</v>
      </c>
      <c r="B174" s="314" t="s">
        <v>277</v>
      </c>
      <c r="C174" s="314">
        <v>11.5</v>
      </c>
      <c r="D174" s="314">
        <v>0</v>
      </c>
      <c r="E174" s="314">
        <v>0</v>
      </c>
    </row>
    <row r="175" spans="1:15" x14ac:dyDescent="0.35">
      <c r="A175" s="319">
        <v>45972</v>
      </c>
      <c r="B175" s="314" t="s">
        <v>278</v>
      </c>
      <c r="C175" s="314">
        <v>11.5</v>
      </c>
      <c r="D175" s="314">
        <v>0</v>
      </c>
      <c r="E175" s="314">
        <v>0</v>
      </c>
    </row>
    <row r="176" spans="1:15" x14ac:dyDescent="0.35">
      <c r="A176" s="319">
        <v>45972</v>
      </c>
      <c r="B176" s="314" t="s">
        <v>279</v>
      </c>
      <c r="C176" s="314">
        <v>10</v>
      </c>
      <c r="D176" s="314">
        <v>0</v>
      </c>
      <c r="E176" s="314">
        <v>0</v>
      </c>
    </row>
    <row r="177" spans="1:15" x14ac:dyDescent="0.35">
      <c r="A177" s="319">
        <v>45972</v>
      </c>
      <c r="B177" s="314" t="s">
        <v>280</v>
      </c>
      <c r="C177" s="314">
        <v>11.5</v>
      </c>
      <c r="D177" s="314">
        <v>0</v>
      </c>
      <c r="E177" s="314">
        <v>0</v>
      </c>
    </row>
    <row r="178" spans="1:15" x14ac:dyDescent="0.35">
      <c r="A178" s="319">
        <v>45972</v>
      </c>
      <c r="B178" s="314" t="s">
        <v>281</v>
      </c>
      <c r="C178" s="314">
        <v>11.5</v>
      </c>
      <c r="D178" s="314">
        <v>0</v>
      </c>
      <c r="E178" s="314">
        <v>0</v>
      </c>
    </row>
    <row r="179" spans="1:15" x14ac:dyDescent="0.35">
      <c r="A179" s="319">
        <v>45972</v>
      </c>
      <c r="B179" s="314" t="s">
        <v>173</v>
      </c>
      <c r="C179" s="314">
        <v>2.2000000000007298</v>
      </c>
      <c r="D179" s="314">
        <v>8.7999999999992706</v>
      </c>
      <c r="E179" s="314">
        <v>0</v>
      </c>
      <c r="F179" s="314">
        <v>0</v>
      </c>
      <c r="O179" s="314" t="s">
        <v>302</v>
      </c>
    </row>
    <row r="180" spans="1:15" x14ac:dyDescent="0.35">
      <c r="A180" s="319">
        <v>45972</v>
      </c>
      <c r="B180" s="314" t="s">
        <v>167</v>
      </c>
      <c r="C180" s="314">
        <v>4</v>
      </c>
      <c r="D180" s="314">
        <v>7</v>
      </c>
      <c r="E180" s="314">
        <v>0</v>
      </c>
      <c r="F180" s="314">
        <v>0</v>
      </c>
      <c r="O180" s="314" t="s">
        <v>303</v>
      </c>
    </row>
    <row r="181" spans="1:15" x14ac:dyDescent="0.35">
      <c r="A181" s="319">
        <v>45972</v>
      </c>
      <c r="B181" s="314" t="s">
        <v>170</v>
      </c>
      <c r="C181" s="314">
        <v>5</v>
      </c>
      <c r="D181" s="314">
        <v>6</v>
      </c>
      <c r="E181" s="314">
        <v>0</v>
      </c>
      <c r="F181" s="314">
        <v>0</v>
      </c>
      <c r="O181" s="314" t="s">
        <v>302</v>
      </c>
    </row>
    <row r="182" spans="1:15" x14ac:dyDescent="0.35">
      <c r="A182" s="319">
        <v>45972</v>
      </c>
      <c r="B182" s="314" t="s">
        <v>271</v>
      </c>
      <c r="C182" s="314">
        <v>0</v>
      </c>
      <c r="D182" s="314">
        <v>0</v>
      </c>
      <c r="E182" s="314">
        <v>11</v>
      </c>
      <c r="F182" s="314">
        <v>0</v>
      </c>
      <c r="O182" s="314" t="s">
        <v>298</v>
      </c>
    </row>
    <row r="183" spans="1:15" x14ac:dyDescent="0.35">
      <c r="A183" s="319">
        <v>45972</v>
      </c>
      <c r="B183" s="314" t="s">
        <v>273</v>
      </c>
      <c r="C183" s="314">
        <v>5.3000000000001801</v>
      </c>
      <c r="D183" s="314">
        <v>5.6999999999998199</v>
      </c>
      <c r="E183" s="314">
        <v>0</v>
      </c>
      <c r="F183" s="314">
        <v>0</v>
      </c>
      <c r="O183" s="314" t="s">
        <v>302</v>
      </c>
    </row>
    <row r="184" spans="1:15" x14ac:dyDescent="0.35">
      <c r="A184" s="319">
        <v>45972</v>
      </c>
      <c r="B184" s="314" t="s">
        <v>185</v>
      </c>
      <c r="C184" s="314">
        <v>6</v>
      </c>
      <c r="D184" s="314">
        <v>5</v>
      </c>
      <c r="E184" s="314">
        <v>0</v>
      </c>
      <c r="F184" s="314">
        <v>0</v>
      </c>
      <c r="O184" s="314" t="s">
        <v>302</v>
      </c>
    </row>
    <row r="185" spans="1:15" x14ac:dyDescent="0.35">
      <c r="A185" s="319">
        <v>45972</v>
      </c>
      <c r="B185" s="314" t="s">
        <v>182</v>
      </c>
      <c r="C185" s="314">
        <v>0</v>
      </c>
      <c r="D185" s="314">
        <v>11</v>
      </c>
      <c r="E185" s="314">
        <v>0</v>
      </c>
      <c r="F185" s="314">
        <v>0</v>
      </c>
      <c r="O185" s="314" t="s">
        <v>304</v>
      </c>
    </row>
    <row r="186" spans="1:15" x14ac:dyDescent="0.35">
      <c r="A186" s="319">
        <v>45972</v>
      </c>
      <c r="B186" s="314" t="s">
        <v>188</v>
      </c>
      <c r="C186" s="314">
        <v>11</v>
      </c>
      <c r="D186" s="314">
        <v>0</v>
      </c>
      <c r="E186" s="314">
        <v>0</v>
      </c>
      <c r="F186" s="314">
        <v>0</v>
      </c>
    </row>
    <row r="187" spans="1:15" x14ac:dyDescent="0.35">
      <c r="A187" s="319">
        <v>45972</v>
      </c>
      <c r="B187" s="314" t="s">
        <v>191</v>
      </c>
      <c r="C187" s="314">
        <v>11</v>
      </c>
      <c r="D187" s="314">
        <v>0</v>
      </c>
      <c r="E187" s="314">
        <v>0</v>
      </c>
      <c r="F187" s="314">
        <v>0</v>
      </c>
    </row>
    <row r="188" spans="1:15" x14ac:dyDescent="0.35">
      <c r="A188" s="319">
        <v>45972</v>
      </c>
      <c r="B188" s="314" t="s">
        <v>274</v>
      </c>
      <c r="C188" s="314">
        <v>0</v>
      </c>
      <c r="D188" s="314">
        <v>0</v>
      </c>
      <c r="E188" s="314">
        <v>0</v>
      </c>
      <c r="F188" s="314">
        <v>0</v>
      </c>
    </row>
    <row r="189" spans="1:15" x14ac:dyDescent="0.35">
      <c r="A189" s="319">
        <v>45972</v>
      </c>
      <c r="B189" s="314" t="s">
        <v>284</v>
      </c>
      <c r="C189" s="314">
        <v>0</v>
      </c>
      <c r="D189" s="314">
        <v>0</v>
      </c>
      <c r="E189" s="314">
        <v>0</v>
      </c>
      <c r="F189" s="314">
        <v>1</v>
      </c>
    </row>
    <row r="190" spans="1:15" x14ac:dyDescent="0.35">
      <c r="A190" s="319">
        <v>45972</v>
      </c>
      <c r="B190" s="314" t="s">
        <v>285</v>
      </c>
      <c r="C190" s="314">
        <v>0</v>
      </c>
      <c r="D190" s="314">
        <v>0</v>
      </c>
      <c r="E190" s="314">
        <v>0</v>
      </c>
      <c r="F190" s="314">
        <v>1</v>
      </c>
    </row>
    <row r="191" spans="1:15" x14ac:dyDescent="0.35">
      <c r="A191" s="319">
        <v>45973</v>
      </c>
      <c r="B191" s="314" t="s">
        <v>276</v>
      </c>
      <c r="C191" s="314">
        <v>11.5</v>
      </c>
      <c r="D191" s="314">
        <v>0</v>
      </c>
      <c r="E191" s="314">
        <v>0</v>
      </c>
    </row>
    <row r="192" spans="1:15" x14ac:dyDescent="0.35">
      <c r="A192" s="319">
        <v>45973</v>
      </c>
      <c r="B192" s="314" t="s">
        <v>277</v>
      </c>
      <c r="C192" s="314">
        <v>11.5</v>
      </c>
      <c r="D192" s="314">
        <v>0</v>
      </c>
      <c r="E192" s="314">
        <v>0</v>
      </c>
    </row>
    <row r="193" spans="1:15" x14ac:dyDescent="0.35">
      <c r="A193" s="319">
        <v>45973</v>
      </c>
      <c r="B193" s="314" t="s">
        <v>278</v>
      </c>
      <c r="C193" s="314">
        <v>11.5</v>
      </c>
      <c r="D193" s="314">
        <v>0</v>
      </c>
      <c r="E193" s="314">
        <v>0</v>
      </c>
    </row>
    <row r="194" spans="1:15" x14ac:dyDescent="0.35">
      <c r="A194" s="319">
        <v>45973</v>
      </c>
      <c r="B194" s="314" t="s">
        <v>279</v>
      </c>
      <c r="C194" s="314">
        <v>11.5</v>
      </c>
      <c r="D194" s="321">
        <v>0</v>
      </c>
      <c r="E194" s="314">
        <v>0</v>
      </c>
    </row>
    <row r="195" spans="1:15" x14ac:dyDescent="0.35">
      <c r="A195" s="319">
        <v>45973</v>
      </c>
      <c r="B195" s="314" t="s">
        <v>280</v>
      </c>
      <c r="C195" s="314">
        <v>11.5</v>
      </c>
      <c r="D195" s="321">
        <v>0</v>
      </c>
      <c r="E195" s="314">
        <v>0</v>
      </c>
    </row>
    <row r="196" spans="1:15" x14ac:dyDescent="0.35">
      <c r="A196" s="319">
        <v>45973</v>
      </c>
      <c r="B196" s="314" t="s">
        <v>281</v>
      </c>
      <c r="C196" s="314">
        <v>11.5</v>
      </c>
      <c r="D196" s="321">
        <v>0</v>
      </c>
      <c r="E196" s="314">
        <v>0</v>
      </c>
    </row>
    <row r="197" spans="1:15" x14ac:dyDescent="0.35">
      <c r="A197" s="319">
        <v>45973</v>
      </c>
      <c r="B197" s="314" t="s">
        <v>173</v>
      </c>
      <c r="C197" s="314">
        <v>3.8999999999996402</v>
      </c>
      <c r="D197" s="321">
        <v>7.1000000000003602</v>
      </c>
      <c r="E197" s="314">
        <v>0</v>
      </c>
      <c r="F197" s="314">
        <v>0</v>
      </c>
      <c r="O197" s="314" t="s">
        <v>302</v>
      </c>
    </row>
    <row r="198" spans="1:15" x14ac:dyDescent="0.35">
      <c r="A198" s="319">
        <v>45973</v>
      </c>
      <c r="B198" s="314" t="s">
        <v>167</v>
      </c>
      <c r="C198" s="314">
        <v>7</v>
      </c>
      <c r="D198" s="321">
        <v>4</v>
      </c>
      <c r="E198" s="314">
        <v>0</v>
      </c>
      <c r="F198" s="314">
        <v>0</v>
      </c>
      <c r="O198" s="314" t="s">
        <v>303</v>
      </c>
    </row>
    <row r="199" spans="1:15" x14ac:dyDescent="0.35">
      <c r="A199" s="319">
        <v>45973</v>
      </c>
      <c r="B199" s="314" t="s">
        <v>170</v>
      </c>
      <c r="C199" s="314">
        <v>9</v>
      </c>
      <c r="D199" s="321">
        <v>2</v>
      </c>
      <c r="E199" s="314">
        <v>0</v>
      </c>
      <c r="F199" s="314">
        <v>0</v>
      </c>
      <c r="O199" s="314" t="s">
        <v>302</v>
      </c>
    </row>
    <row r="200" spans="1:15" x14ac:dyDescent="0.35">
      <c r="A200" s="319">
        <v>45973</v>
      </c>
      <c r="B200" s="314" t="s">
        <v>271</v>
      </c>
      <c r="C200" s="314">
        <v>3.3000000000001801</v>
      </c>
      <c r="D200" s="321">
        <v>0</v>
      </c>
      <c r="E200" s="314">
        <v>7.7</v>
      </c>
      <c r="F200" s="314">
        <v>0</v>
      </c>
      <c r="O200" s="314" t="s">
        <v>305</v>
      </c>
    </row>
    <row r="201" spans="1:15" x14ac:dyDescent="0.35">
      <c r="A201" s="319">
        <v>45973</v>
      </c>
      <c r="B201" s="314" t="s">
        <v>273</v>
      </c>
      <c r="C201" s="314">
        <v>4.1999999999998199</v>
      </c>
      <c r="D201" s="321">
        <v>6.8000000000001801</v>
      </c>
      <c r="E201" s="314">
        <v>0</v>
      </c>
      <c r="F201" s="314">
        <v>0</v>
      </c>
      <c r="O201" s="314" t="s">
        <v>302</v>
      </c>
    </row>
    <row r="202" spans="1:15" x14ac:dyDescent="0.35">
      <c r="A202" s="319">
        <v>45973</v>
      </c>
      <c r="B202" s="314" t="s">
        <v>185</v>
      </c>
      <c r="C202" s="314">
        <v>9</v>
      </c>
      <c r="D202" s="321">
        <v>2</v>
      </c>
      <c r="E202" s="314">
        <v>0</v>
      </c>
      <c r="F202" s="314">
        <v>0</v>
      </c>
      <c r="O202" s="314" t="s">
        <v>302</v>
      </c>
    </row>
    <row r="203" spans="1:15" x14ac:dyDescent="0.35">
      <c r="A203" s="319">
        <v>45973</v>
      </c>
      <c r="B203" s="314" t="s">
        <v>182</v>
      </c>
      <c r="C203" s="314">
        <v>0</v>
      </c>
      <c r="D203" s="314">
        <v>11</v>
      </c>
      <c r="E203" s="314">
        <v>0</v>
      </c>
      <c r="F203" s="314">
        <v>0</v>
      </c>
      <c r="O203" s="314" t="s">
        <v>304</v>
      </c>
    </row>
    <row r="204" spans="1:15" x14ac:dyDescent="0.35">
      <c r="A204" s="319">
        <v>45973</v>
      </c>
      <c r="B204" s="314" t="s">
        <v>188</v>
      </c>
      <c r="C204" s="314">
        <v>11</v>
      </c>
      <c r="D204" s="314">
        <v>0</v>
      </c>
      <c r="E204" s="314">
        <v>0</v>
      </c>
      <c r="F204" s="314">
        <v>0</v>
      </c>
    </row>
    <row r="205" spans="1:15" x14ac:dyDescent="0.35">
      <c r="A205" s="319">
        <v>45973</v>
      </c>
      <c r="B205" s="314" t="s">
        <v>191</v>
      </c>
      <c r="C205" s="314">
        <v>11</v>
      </c>
      <c r="D205" s="314">
        <v>0</v>
      </c>
      <c r="E205" s="314">
        <v>0</v>
      </c>
      <c r="F205" s="314">
        <v>0</v>
      </c>
    </row>
    <row r="206" spans="1:15" x14ac:dyDescent="0.35">
      <c r="A206" s="319">
        <v>45973</v>
      </c>
      <c r="B206" s="314" t="s">
        <v>274</v>
      </c>
      <c r="C206" s="314">
        <v>0</v>
      </c>
      <c r="D206" s="314">
        <v>0</v>
      </c>
      <c r="E206" s="314">
        <v>0</v>
      </c>
      <c r="F206" s="314">
        <v>0</v>
      </c>
    </row>
    <row r="207" spans="1:15" x14ac:dyDescent="0.35">
      <c r="A207" s="319">
        <v>45973</v>
      </c>
      <c r="B207" s="314" t="s">
        <v>284</v>
      </c>
      <c r="C207" s="314">
        <v>0</v>
      </c>
      <c r="D207" s="314">
        <v>0</v>
      </c>
      <c r="E207" s="314">
        <v>0</v>
      </c>
      <c r="F207" s="314">
        <v>1</v>
      </c>
    </row>
    <row r="208" spans="1:15" x14ac:dyDescent="0.35">
      <c r="A208" s="319">
        <v>45973</v>
      </c>
      <c r="B208" s="314" t="s">
        <v>285</v>
      </c>
      <c r="C208" s="314">
        <v>0</v>
      </c>
      <c r="D208" s="314">
        <v>0</v>
      </c>
      <c r="E208" s="314">
        <v>0</v>
      </c>
      <c r="F208" s="314">
        <v>1</v>
      </c>
    </row>
    <row r="209" spans="1:15" x14ac:dyDescent="0.35">
      <c r="A209" s="319">
        <v>45974</v>
      </c>
      <c r="B209" s="314" t="s">
        <v>276</v>
      </c>
      <c r="C209" s="314">
        <v>11.5</v>
      </c>
      <c r="D209" s="321">
        <v>0</v>
      </c>
      <c r="E209" s="314">
        <v>0</v>
      </c>
    </row>
    <row r="210" spans="1:15" x14ac:dyDescent="0.35">
      <c r="A210" s="319">
        <v>45974</v>
      </c>
      <c r="B210" s="314" t="s">
        <v>277</v>
      </c>
      <c r="C210" s="314">
        <v>11.5</v>
      </c>
      <c r="D210" s="321">
        <v>0</v>
      </c>
      <c r="E210" s="314">
        <v>0</v>
      </c>
    </row>
    <row r="211" spans="1:15" x14ac:dyDescent="0.35">
      <c r="A211" s="319">
        <v>45974</v>
      </c>
      <c r="B211" s="314" t="s">
        <v>278</v>
      </c>
      <c r="C211" s="314">
        <v>11.5</v>
      </c>
      <c r="D211" s="321">
        <v>0</v>
      </c>
      <c r="E211" s="314">
        <v>0</v>
      </c>
    </row>
    <row r="212" spans="1:15" x14ac:dyDescent="0.35">
      <c r="A212" s="319">
        <v>45974</v>
      </c>
      <c r="B212" s="314" t="s">
        <v>279</v>
      </c>
      <c r="C212" s="314">
        <v>11.5</v>
      </c>
      <c r="D212" s="321">
        <v>0</v>
      </c>
      <c r="E212" s="314">
        <v>0</v>
      </c>
    </row>
    <row r="213" spans="1:15" x14ac:dyDescent="0.35">
      <c r="A213" s="319">
        <v>45974</v>
      </c>
      <c r="B213" s="314" t="s">
        <v>280</v>
      </c>
      <c r="C213" s="314">
        <v>11.5</v>
      </c>
      <c r="D213" s="321">
        <v>0</v>
      </c>
      <c r="E213" s="314">
        <v>0</v>
      </c>
    </row>
    <row r="214" spans="1:15" x14ac:dyDescent="0.35">
      <c r="A214" s="319">
        <v>45974</v>
      </c>
      <c r="B214" s="314" t="s">
        <v>281</v>
      </c>
      <c r="C214" s="314">
        <v>11.5</v>
      </c>
      <c r="D214" s="321">
        <v>0</v>
      </c>
      <c r="E214" s="314">
        <v>0</v>
      </c>
    </row>
    <row r="215" spans="1:15" x14ac:dyDescent="0.35">
      <c r="A215" s="319">
        <v>45974</v>
      </c>
      <c r="B215" s="314" t="s">
        <v>173</v>
      </c>
      <c r="C215" s="314">
        <v>2</v>
      </c>
      <c r="D215" s="321">
        <v>9</v>
      </c>
      <c r="E215" s="314">
        <v>0</v>
      </c>
      <c r="F215" s="314">
        <v>0</v>
      </c>
      <c r="O215" s="314" t="s">
        <v>302</v>
      </c>
    </row>
    <row r="216" spans="1:15" x14ac:dyDescent="0.35">
      <c r="A216" s="319">
        <v>45974</v>
      </c>
      <c r="B216" s="314" t="s">
        <v>167</v>
      </c>
      <c r="C216" s="314">
        <v>8</v>
      </c>
      <c r="D216" s="321">
        <v>3</v>
      </c>
      <c r="E216" s="314">
        <v>0</v>
      </c>
      <c r="F216" s="314">
        <v>0</v>
      </c>
      <c r="O216" s="314" t="s">
        <v>303</v>
      </c>
    </row>
    <row r="217" spans="1:15" x14ac:dyDescent="0.35">
      <c r="A217" s="319">
        <v>45974</v>
      </c>
      <c r="B217" s="314" t="s">
        <v>170</v>
      </c>
      <c r="C217" s="314">
        <v>8</v>
      </c>
      <c r="D217" s="321">
        <v>3</v>
      </c>
      <c r="E217" s="314">
        <v>0</v>
      </c>
      <c r="F217" s="314">
        <v>0</v>
      </c>
      <c r="O217" s="314" t="s">
        <v>302</v>
      </c>
    </row>
    <row r="218" spans="1:15" x14ac:dyDescent="0.35">
      <c r="A218" s="319">
        <v>45974</v>
      </c>
      <c r="B218" s="314" t="s">
        <v>271</v>
      </c>
      <c r="C218" s="314">
        <v>0</v>
      </c>
      <c r="D218" s="314">
        <v>0</v>
      </c>
      <c r="E218" s="314">
        <v>11</v>
      </c>
      <c r="F218" s="314">
        <v>0</v>
      </c>
      <c r="O218" s="314" t="s">
        <v>298</v>
      </c>
    </row>
    <row r="219" spans="1:15" x14ac:dyDescent="0.35">
      <c r="A219" s="319">
        <v>45974</v>
      </c>
      <c r="B219" s="314" t="s">
        <v>273</v>
      </c>
      <c r="C219" s="314">
        <v>9.4000000000005492</v>
      </c>
      <c r="D219" s="314">
        <v>1.5999999999994501</v>
      </c>
      <c r="E219" s="314">
        <v>0</v>
      </c>
      <c r="F219" s="314">
        <v>0</v>
      </c>
      <c r="O219" s="314" t="s">
        <v>302</v>
      </c>
    </row>
    <row r="220" spans="1:15" x14ac:dyDescent="0.35">
      <c r="A220" s="319">
        <v>45974</v>
      </c>
      <c r="B220" s="314" t="s">
        <v>185</v>
      </c>
      <c r="C220" s="314">
        <v>9</v>
      </c>
      <c r="D220" s="314">
        <v>2</v>
      </c>
      <c r="E220" s="314">
        <v>0</v>
      </c>
      <c r="F220" s="314">
        <v>0</v>
      </c>
      <c r="O220" s="314" t="s">
        <v>306</v>
      </c>
    </row>
    <row r="221" spans="1:15" x14ac:dyDescent="0.35">
      <c r="A221" s="319">
        <v>45974</v>
      </c>
      <c r="B221" s="314" t="s">
        <v>182</v>
      </c>
      <c r="C221" s="314">
        <v>1.79999999999927</v>
      </c>
      <c r="D221" s="314">
        <v>9.2000000000007294</v>
      </c>
      <c r="E221" s="314">
        <v>0</v>
      </c>
      <c r="F221" s="314">
        <v>0</v>
      </c>
      <c r="O221" s="314" t="s">
        <v>304</v>
      </c>
    </row>
    <row r="222" spans="1:15" x14ac:dyDescent="0.35">
      <c r="A222" s="319">
        <v>45974</v>
      </c>
      <c r="B222" s="314" t="s">
        <v>188</v>
      </c>
      <c r="C222" s="314">
        <v>11</v>
      </c>
      <c r="D222" s="314">
        <v>0</v>
      </c>
      <c r="E222" s="314">
        <v>0</v>
      </c>
      <c r="F222" s="314">
        <v>0</v>
      </c>
    </row>
    <row r="223" spans="1:15" x14ac:dyDescent="0.35">
      <c r="A223" s="319">
        <v>45974</v>
      </c>
      <c r="B223" s="314" t="s">
        <v>191</v>
      </c>
      <c r="C223" s="314">
        <v>11</v>
      </c>
      <c r="D223" s="314">
        <v>0</v>
      </c>
      <c r="E223" s="314">
        <v>0</v>
      </c>
      <c r="F223" s="314">
        <v>0</v>
      </c>
    </row>
    <row r="224" spans="1:15" x14ac:dyDescent="0.35">
      <c r="A224" s="319">
        <v>45974</v>
      </c>
      <c r="B224" s="314" t="s">
        <v>274</v>
      </c>
      <c r="C224" s="314">
        <v>0</v>
      </c>
      <c r="D224" s="314">
        <v>0</v>
      </c>
      <c r="E224" s="314">
        <v>0</v>
      </c>
      <c r="F224" s="314">
        <v>0</v>
      </c>
    </row>
    <row r="225" spans="1:15" x14ac:dyDescent="0.35">
      <c r="A225" s="319">
        <v>45974</v>
      </c>
      <c r="B225" s="314" t="s">
        <v>284</v>
      </c>
      <c r="C225" s="314">
        <v>0</v>
      </c>
      <c r="D225" s="314">
        <v>0</v>
      </c>
      <c r="E225" s="314">
        <v>0</v>
      </c>
      <c r="F225" s="314">
        <v>1</v>
      </c>
    </row>
    <row r="226" spans="1:15" x14ac:dyDescent="0.35">
      <c r="A226" s="319">
        <v>45974</v>
      </c>
      <c r="B226" s="314" t="s">
        <v>285</v>
      </c>
      <c r="C226" s="314">
        <v>0</v>
      </c>
      <c r="D226" s="314">
        <v>0</v>
      </c>
      <c r="E226" s="314">
        <v>0</v>
      </c>
      <c r="F226" s="314">
        <v>1</v>
      </c>
    </row>
    <row r="227" spans="1:15" x14ac:dyDescent="0.35">
      <c r="A227" s="319">
        <v>45975</v>
      </c>
      <c r="B227" s="314" t="s">
        <v>276</v>
      </c>
      <c r="C227" s="314">
        <v>11.5</v>
      </c>
      <c r="D227" s="314">
        <v>0</v>
      </c>
      <c r="E227" s="314">
        <v>0</v>
      </c>
    </row>
    <row r="228" spans="1:15" x14ac:dyDescent="0.35">
      <c r="A228" s="319">
        <v>45975</v>
      </c>
      <c r="B228" s="314" t="s">
        <v>277</v>
      </c>
      <c r="C228" s="314">
        <v>11.5</v>
      </c>
      <c r="D228" s="314">
        <v>0</v>
      </c>
      <c r="E228" s="314">
        <v>0</v>
      </c>
    </row>
    <row r="229" spans="1:15" x14ac:dyDescent="0.35">
      <c r="A229" s="319">
        <v>45975</v>
      </c>
      <c r="B229" s="314" t="s">
        <v>278</v>
      </c>
      <c r="C229" s="314">
        <v>11.5</v>
      </c>
      <c r="D229" s="314">
        <v>0</v>
      </c>
      <c r="E229" s="314">
        <v>0</v>
      </c>
    </row>
    <row r="230" spans="1:15" x14ac:dyDescent="0.35">
      <c r="A230" s="319">
        <v>45975</v>
      </c>
      <c r="B230" s="314" t="s">
        <v>279</v>
      </c>
      <c r="C230" s="314">
        <v>11.5</v>
      </c>
      <c r="D230" s="314">
        <v>0</v>
      </c>
      <c r="E230" s="314">
        <v>0</v>
      </c>
    </row>
    <row r="231" spans="1:15" x14ac:dyDescent="0.35">
      <c r="A231" s="319">
        <v>45975</v>
      </c>
      <c r="B231" s="314" t="s">
        <v>280</v>
      </c>
      <c r="C231" s="314">
        <v>11.5</v>
      </c>
      <c r="D231" s="314">
        <v>0</v>
      </c>
      <c r="E231" s="314">
        <v>0</v>
      </c>
    </row>
    <row r="232" spans="1:15" x14ac:dyDescent="0.35">
      <c r="A232" s="319">
        <v>45975</v>
      </c>
      <c r="B232" s="314" t="s">
        <v>281</v>
      </c>
      <c r="C232" s="314">
        <v>11.5</v>
      </c>
      <c r="D232" s="314">
        <v>0</v>
      </c>
      <c r="E232" s="314">
        <v>0</v>
      </c>
    </row>
    <row r="233" spans="1:15" x14ac:dyDescent="0.35">
      <c r="A233" s="319">
        <v>45975</v>
      </c>
      <c r="B233" s="314" t="s">
        <v>173</v>
      </c>
      <c r="C233" s="314">
        <v>4.7999999999992697</v>
      </c>
      <c r="D233" s="314">
        <v>6.2000000000007303</v>
      </c>
      <c r="E233" s="314">
        <v>0</v>
      </c>
      <c r="F233" s="314">
        <v>0</v>
      </c>
      <c r="O233" s="314" t="s">
        <v>302</v>
      </c>
    </row>
    <row r="234" spans="1:15" x14ac:dyDescent="0.35">
      <c r="A234" s="319">
        <v>45975</v>
      </c>
      <c r="B234" s="314" t="s">
        <v>167</v>
      </c>
      <c r="C234" s="314">
        <v>9</v>
      </c>
      <c r="D234" s="314">
        <v>2</v>
      </c>
      <c r="E234" s="314">
        <v>0</v>
      </c>
      <c r="F234" s="314">
        <v>0</v>
      </c>
      <c r="O234" s="314" t="s">
        <v>303</v>
      </c>
    </row>
    <row r="235" spans="1:15" x14ac:dyDescent="0.35">
      <c r="A235" s="319">
        <v>45975</v>
      </c>
      <c r="B235" s="314" t="s">
        <v>170</v>
      </c>
      <c r="C235" s="314">
        <v>8</v>
      </c>
      <c r="D235" s="314">
        <v>3</v>
      </c>
      <c r="E235" s="314">
        <v>0</v>
      </c>
      <c r="F235" s="314">
        <v>0</v>
      </c>
      <c r="O235" s="314" t="s">
        <v>302</v>
      </c>
    </row>
    <row r="236" spans="1:15" x14ac:dyDescent="0.35">
      <c r="A236" s="319">
        <v>45975</v>
      </c>
      <c r="B236" s="314" t="s">
        <v>271</v>
      </c>
      <c r="C236" s="314">
        <v>0</v>
      </c>
      <c r="D236" s="314">
        <v>0</v>
      </c>
      <c r="E236" s="314">
        <v>11</v>
      </c>
      <c r="F236" s="314">
        <v>0</v>
      </c>
      <c r="O236" s="314" t="s">
        <v>298</v>
      </c>
    </row>
    <row r="237" spans="1:15" x14ac:dyDescent="0.35">
      <c r="A237" s="319">
        <v>45975</v>
      </c>
      <c r="B237" s="314" t="s">
        <v>273</v>
      </c>
      <c r="C237" s="314">
        <v>9</v>
      </c>
      <c r="D237" s="314">
        <v>2</v>
      </c>
      <c r="E237" s="314">
        <v>0</v>
      </c>
      <c r="F237" s="314">
        <v>0</v>
      </c>
      <c r="O237" s="314" t="s">
        <v>302</v>
      </c>
    </row>
    <row r="238" spans="1:15" x14ac:dyDescent="0.35">
      <c r="A238" s="319">
        <v>45975</v>
      </c>
      <c r="B238" s="314" t="s">
        <v>185</v>
      </c>
      <c r="C238" s="314">
        <v>8</v>
      </c>
      <c r="D238" s="314">
        <v>3</v>
      </c>
      <c r="E238" s="314">
        <v>0</v>
      </c>
      <c r="F238" s="314">
        <v>0</v>
      </c>
      <c r="O238" s="314" t="s">
        <v>306</v>
      </c>
    </row>
    <row r="239" spans="1:15" x14ac:dyDescent="0.35">
      <c r="A239" s="319">
        <v>45975</v>
      </c>
      <c r="B239" s="314" t="s">
        <v>182</v>
      </c>
      <c r="C239" s="314">
        <v>0.20000000000072801</v>
      </c>
      <c r="D239" s="314">
        <v>10.799999999999301</v>
      </c>
      <c r="E239" s="314">
        <v>0</v>
      </c>
      <c r="F239" s="314">
        <v>0</v>
      </c>
      <c r="O239" s="314" t="s">
        <v>304</v>
      </c>
    </row>
    <row r="240" spans="1:15" x14ac:dyDescent="0.35">
      <c r="A240" s="319">
        <v>45975</v>
      </c>
      <c r="B240" s="314" t="s">
        <v>188</v>
      </c>
      <c r="C240" s="314">
        <v>11</v>
      </c>
      <c r="D240" s="314">
        <v>0</v>
      </c>
      <c r="E240" s="314">
        <v>0</v>
      </c>
      <c r="F240" s="314">
        <v>0</v>
      </c>
    </row>
    <row r="241" spans="1:15" x14ac:dyDescent="0.35">
      <c r="A241" s="319">
        <v>45975</v>
      </c>
      <c r="B241" s="314" t="s">
        <v>191</v>
      </c>
      <c r="C241" s="314">
        <v>11</v>
      </c>
      <c r="D241" s="314">
        <v>0</v>
      </c>
      <c r="E241" s="314">
        <v>0</v>
      </c>
      <c r="F241" s="314">
        <v>0</v>
      </c>
    </row>
    <row r="242" spans="1:15" x14ac:dyDescent="0.35">
      <c r="A242" s="319">
        <v>45975</v>
      </c>
      <c r="B242" s="314" t="s">
        <v>274</v>
      </c>
      <c r="C242" s="314">
        <v>0</v>
      </c>
      <c r="D242" s="314">
        <v>0</v>
      </c>
      <c r="E242" s="314">
        <v>0</v>
      </c>
      <c r="F242" s="314">
        <v>0</v>
      </c>
    </row>
    <row r="243" spans="1:15" x14ac:dyDescent="0.35">
      <c r="A243" s="319">
        <v>45975</v>
      </c>
      <c r="B243" s="314" t="s">
        <v>284</v>
      </c>
      <c r="C243" s="314">
        <v>0</v>
      </c>
      <c r="D243" s="314">
        <v>0</v>
      </c>
      <c r="E243" s="314">
        <v>0</v>
      </c>
      <c r="F243" s="314">
        <v>1</v>
      </c>
    </row>
    <row r="244" spans="1:15" x14ac:dyDescent="0.35">
      <c r="A244" s="319">
        <v>45975</v>
      </c>
      <c r="B244" s="314" t="s">
        <v>285</v>
      </c>
      <c r="C244" s="314">
        <v>0</v>
      </c>
      <c r="D244" s="314">
        <v>0</v>
      </c>
      <c r="E244" s="314">
        <v>0</v>
      </c>
      <c r="F244" s="314">
        <v>1</v>
      </c>
    </row>
    <row r="245" spans="1:15" x14ac:dyDescent="0.35">
      <c r="A245" s="319">
        <v>45976</v>
      </c>
      <c r="B245" s="314" t="s">
        <v>276</v>
      </c>
      <c r="C245" s="314">
        <v>11.5</v>
      </c>
      <c r="D245" s="314">
        <v>0</v>
      </c>
      <c r="E245" s="314">
        <v>0</v>
      </c>
    </row>
    <row r="246" spans="1:15" x14ac:dyDescent="0.35">
      <c r="A246" s="319">
        <v>45976</v>
      </c>
      <c r="B246" s="314" t="s">
        <v>277</v>
      </c>
      <c r="C246" s="314">
        <v>11.5</v>
      </c>
      <c r="D246" s="314">
        <v>0</v>
      </c>
      <c r="E246" s="314">
        <v>0</v>
      </c>
    </row>
    <row r="247" spans="1:15" x14ac:dyDescent="0.35">
      <c r="A247" s="319">
        <v>45976</v>
      </c>
      <c r="B247" s="314" t="s">
        <v>278</v>
      </c>
      <c r="C247" s="314">
        <v>11.5</v>
      </c>
      <c r="D247" s="314">
        <v>0</v>
      </c>
      <c r="E247" s="314">
        <v>0</v>
      </c>
    </row>
    <row r="248" spans="1:15" x14ac:dyDescent="0.35">
      <c r="A248" s="319">
        <v>45976</v>
      </c>
      <c r="B248" s="314" t="s">
        <v>279</v>
      </c>
      <c r="C248" s="314">
        <v>11.5</v>
      </c>
      <c r="D248" s="314">
        <v>0</v>
      </c>
      <c r="E248" s="314">
        <v>0</v>
      </c>
    </row>
    <row r="249" spans="1:15" x14ac:dyDescent="0.35">
      <c r="A249" s="319">
        <v>45976</v>
      </c>
      <c r="B249" s="314" t="s">
        <v>280</v>
      </c>
      <c r="C249" s="314">
        <v>11.5</v>
      </c>
      <c r="D249" s="314">
        <v>0</v>
      </c>
      <c r="E249" s="314">
        <v>0</v>
      </c>
    </row>
    <row r="250" spans="1:15" x14ac:dyDescent="0.35">
      <c r="A250" s="319">
        <v>45976</v>
      </c>
      <c r="B250" s="314" t="s">
        <v>281</v>
      </c>
      <c r="C250" s="314">
        <v>11.5</v>
      </c>
      <c r="D250" s="314">
        <v>0</v>
      </c>
      <c r="E250" s="314">
        <v>0</v>
      </c>
    </row>
    <row r="251" spans="1:15" x14ac:dyDescent="0.35">
      <c r="A251" s="319">
        <v>45976</v>
      </c>
      <c r="B251" s="314" t="s">
        <v>173</v>
      </c>
      <c r="C251" s="314">
        <v>1.70000000000073</v>
      </c>
      <c r="D251" s="314">
        <v>9.2999999999992706</v>
      </c>
      <c r="E251" s="314">
        <v>0</v>
      </c>
      <c r="F251" s="314">
        <v>0</v>
      </c>
      <c r="O251" s="314" t="s">
        <v>302</v>
      </c>
    </row>
    <row r="252" spans="1:15" x14ac:dyDescent="0.35">
      <c r="A252" s="319">
        <v>45976</v>
      </c>
      <c r="B252" s="314" t="s">
        <v>167</v>
      </c>
      <c r="C252" s="314">
        <v>9</v>
      </c>
      <c r="D252" s="314">
        <v>2</v>
      </c>
      <c r="E252" s="314">
        <v>0</v>
      </c>
      <c r="F252" s="314">
        <v>0</v>
      </c>
      <c r="O252" s="314" t="s">
        <v>303</v>
      </c>
    </row>
    <row r="253" spans="1:15" x14ac:dyDescent="0.35">
      <c r="A253" s="319">
        <v>45976</v>
      </c>
      <c r="B253" s="314" t="s">
        <v>170</v>
      </c>
      <c r="C253" s="314">
        <v>8</v>
      </c>
      <c r="D253" s="314">
        <v>3</v>
      </c>
      <c r="E253" s="314">
        <v>0</v>
      </c>
      <c r="F253" s="314">
        <v>0</v>
      </c>
      <c r="O253" s="314" t="s">
        <v>302</v>
      </c>
    </row>
    <row r="254" spans="1:15" x14ac:dyDescent="0.35">
      <c r="A254" s="319">
        <v>45976</v>
      </c>
      <c r="B254" s="314" t="s">
        <v>271</v>
      </c>
      <c r="C254" s="314">
        <v>0</v>
      </c>
      <c r="D254" s="314">
        <v>0</v>
      </c>
      <c r="E254" s="314">
        <v>11</v>
      </c>
      <c r="F254" s="314">
        <v>0</v>
      </c>
      <c r="O254" s="314" t="s">
        <v>298</v>
      </c>
    </row>
    <row r="255" spans="1:15" x14ac:dyDescent="0.35">
      <c r="A255" s="319">
        <v>45976</v>
      </c>
      <c r="B255" s="314" t="s">
        <v>273</v>
      </c>
      <c r="C255" s="314">
        <v>9.5</v>
      </c>
      <c r="D255" s="314">
        <v>1.5</v>
      </c>
      <c r="E255" s="314">
        <v>0</v>
      </c>
      <c r="F255" s="314">
        <v>0</v>
      </c>
      <c r="O255" s="314" t="s">
        <v>302</v>
      </c>
    </row>
    <row r="256" spans="1:15" x14ac:dyDescent="0.35">
      <c r="A256" s="319">
        <v>45976</v>
      </c>
      <c r="B256" s="314" t="s">
        <v>185</v>
      </c>
      <c r="C256" s="314">
        <v>7</v>
      </c>
      <c r="D256" s="314">
        <v>4</v>
      </c>
      <c r="E256" s="314">
        <v>0</v>
      </c>
      <c r="F256" s="314">
        <v>0</v>
      </c>
      <c r="O256" s="314" t="s">
        <v>306</v>
      </c>
    </row>
    <row r="257" spans="1:15" x14ac:dyDescent="0.35">
      <c r="A257" s="319">
        <v>45976</v>
      </c>
      <c r="B257" s="314" t="s">
        <v>182</v>
      </c>
      <c r="C257" s="314">
        <v>0.79999999999927196</v>
      </c>
      <c r="D257" s="314">
        <v>10.200000000000699</v>
      </c>
      <c r="E257" s="314">
        <v>0</v>
      </c>
      <c r="F257" s="314">
        <v>0</v>
      </c>
      <c r="O257" s="314" t="s">
        <v>304</v>
      </c>
    </row>
    <row r="258" spans="1:15" x14ac:dyDescent="0.35">
      <c r="A258" s="319">
        <v>45976</v>
      </c>
      <c r="B258" s="314" t="s">
        <v>188</v>
      </c>
      <c r="C258" s="314">
        <v>11</v>
      </c>
      <c r="D258" s="314">
        <v>0</v>
      </c>
      <c r="E258" s="314">
        <v>0</v>
      </c>
      <c r="F258" s="314">
        <v>0</v>
      </c>
    </row>
    <row r="259" spans="1:15" x14ac:dyDescent="0.35">
      <c r="A259" s="319">
        <v>45976</v>
      </c>
      <c r="B259" s="314" t="s">
        <v>191</v>
      </c>
      <c r="C259" s="314">
        <v>11</v>
      </c>
      <c r="D259" s="314">
        <v>0</v>
      </c>
      <c r="E259" s="314">
        <v>0</v>
      </c>
      <c r="F259" s="314">
        <v>0</v>
      </c>
    </row>
    <row r="260" spans="1:15" x14ac:dyDescent="0.35">
      <c r="A260" s="319">
        <v>45976</v>
      </c>
      <c r="B260" s="314" t="s">
        <v>274</v>
      </c>
      <c r="C260" s="314">
        <v>0</v>
      </c>
      <c r="D260" s="314">
        <v>0</v>
      </c>
      <c r="E260" s="314">
        <v>0</v>
      </c>
      <c r="F260" s="314">
        <v>0</v>
      </c>
    </row>
    <row r="261" spans="1:15" x14ac:dyDescent="0.35">
      <c r="A261" s="319">
        <v>45976</v>
      </c>
      <c r="B261" s="314" t="s">
        <v>284</v>
      </c>
      <c r="C261" s="314">
        <v>0</v>
      </c>
      <c r="D261" s="314">
        <v>0</v>
      </c>
      <c r="E261" s="314">
        <v>0</v>
      </c>
      <c r="F261" s="314">
        <v>1</v>
      </c>
    </row>
    <row r="262" spans="1:15" x14ac:dyDescent="0.35">
      <c r="A262" s="319">
        <v>45976</v>
      </c>
      <c r="B262" s="314" t="s">
        <v>285</v>
      </c>
      <c r="C262" s="314">
        <v>0</v>
      </c>
      <c r="D262" s="314">
        <v>0</v>
      </c>
      <c r="E262" s="314">
        <v>0</v>
      </c>
      <c r="F262" s="314">
        <v>1</v>
      </c>
    </row>
    <row r="263" spans="1:15" x14ac:dyDescent="0.35">
      <c r="A263" s="319">
        <v>45977</v>
      </c>
      <c r="B263" s="314" t="s">
        <v>276</v>
      </c>
      <c r="C263" s="314">
        <v>9.5</v>
      </c>
      <c r="D263" s="314">
        <v>0</v>
      </c>
      <c r="E263" s="314">
        <v>0</v>
      </c>
    </row>
    <row r="264" spans="1:15" x14ac:dyDescent="0.35">
      <c r="A264" s="319">
        <v>45977</v>
      </c>
      <c r="B264" s="314" t="s">
        <v>277</v>
      </c>
      <c r="C264" s="314">
        <v>9.5</v>
      </c>
      <c r="D264" s="314">
        <v>0</v>
      </c>
      <c r="E264" s="314">
        <v>0</v>
      </c>
    </row>
    <row r="265" spans="1:15" x14ac:dyDescent="0.35">
      <c r="A265" s="319">
        <v>45977</v>
      </c>
      <c r="B265" s="314" t="s">
        <v>278</v>
      </c>
      <c r="C265" s="314">
        <v>9.5</v>
      </c>
      <c r="D265" s="314">
        <v>0</v>
      </c>
      <c r="E265" s="314">
        <v>0</v>
      </c>
    </row>
    <row r="266" spans="1:15" x14ac:dyDescent="0.35">
      <c r="A266" s="319">
        <v>45977</v>
      </c>
      <c r="B266" s="314" t="s">
        <v>279</v>
      </c>
      <c r="C266" s="314">
        <v>9.5</v>
      </c>
      <c r="D266" s="314">
        <v>0</v>
      </c>
      <c r="E266" s="314">
        <v>0</v>
      </c>
    </row>
    <row r="267" spans="1:15" x14ac:dyDescent="0.35">
      <c r="A267" s="319">
        <v>45977</v>
      </c>
      <c r="B267" s="314" t="s">
        <v>280</v>
      </c>
      <c r="C267" s="314">
        <v>9.5</v>
      </c>
      <c r="D267" s="314">
        <v>0</v>
      </c>
      <c r="E267" s="314">
        <v>0</v>
      </c>
    </row>
    <row r="268" spans="1:15" x14ac:dyDescent="0.35">
      <c r="A268" s="319">
        <v>45977</v>
      </c>
      <c r="B268" s="314" t="s">
        <v>281</v>
      </c>
      <c r="C268" s="314">
        <v>9.5</v>
      </c>
      <c r="D268" s="314">
        <v>0</v>
      </c>
      <c r="E268" s="314">
        <v>0</v>
      </c>
    </row>
    <row r="269" spans="1:15" x14ac:dyDescent="0.35">
      <c r="A269" s="319">
        <v>45977</v>
      </c>
      <c r="B269" s="314" t="s">
        <v>173</v>
      </c>
      <c r="C269" s="314">
        <v>9.9999999998544795E-2</v>
      </c>
      <c r="D269" s="314">
        <v>10.9000000000015</v>
      </c>
      <c r="E269" s="314">
        <v>0</v>
      </c>
      <c r="F269" s="314">
        <v>0</v>
      </c>
      <c r="O269" s="314" t="s">
        <v>302</v>
      </c>
    </row>
    <row r="270" spans="1:15" x14ac:dyDescent="0.35">
      <c r="A270" s="319">
        <v>45977</v>
      </c>
      <c r="B270" s="314" t="s">
        <v>167</v>
      </c>
      <c r="C270" s="314">
        <v>0</v>
      </c>
      <c r="D270" s="314">
        <v>11</v>
      </c>
      <c r="E270" s="314">
        <v>0</v>
      </c>
      <c r="F270" s="314">
        <v>0</v>
      </c>
      <c r="O270" s="314" t="s">
        <v>303</v>
      </c>
    </row>
    <row r="271" spans="1:15" x14ac:dyDescent="0.35">
      <c r="A271" s="319">
        <v>45977</v>
      </c>
      <c r="B271" s="314" t="s">
        <v>170</v>
      </c>
      <c r="C271" s="314">
        <v>0</v>
      </c>
      <c r="D271" s="314">
        <v>11</v>
      </c>
      <c r="E271" s="314">
        <v>0</v>
      </c>
      <c r="F271" s="314">
        <v>0</v>
      </c>
      <c r="O271" s="314" t="s">
        <v>302</v>
      </c>
    </row>
    <row r="272" spans="1:15" x14ac:dyDescent="0.35">
      <c r="A272" s="319">
        <v>45977</v>
      </c>
      <c r="B272" s="314" t="s">
        <v>271</v>
      </c>
      <c r="C272" s="314">
        <v>0</v>
      </c>
      <c r="D272" s="314">
        <v>0</v>
      </c>
      <c r="E272" s="314">
        <v>11</v>
      </c>
      <c r="F272" s="314">
        <v>0</v>
      </c>
      <c r="O272" s="314" t="s">
        <v>298</v>
      </c>
    </row>
    <row r="273" spans="1:15" x14ac:dyDescent="0.35">
      <c r="A273" s="319">
        <v>45977</v>
      </c>
      <c r="B273" s="314" t="s">
        <v>273</v>
      </c>
      <c r="C273" s="314">
        <v>0.5</v>
      </c>
      <c r="D273" s="314">
        <v>10.5</v>
      </c>
      <c r="E273" s="314">
        <v>0</v>
      </c>
      <c r="F273" s="314">
        <v>0</v>
      </c>
      <c r="O273" s="314" t="s">
        <v>302</v>
      </c>
    </row>
    <row r="274" spans="1:15" x14ac:dyDescent="0.35">
      <c r="A274" s="319">
        <v>45977</v>
      </c>
      <c r="B274" s="314" t="s">
        <v>185</v>
      </c>
      <c r="C274" s="314">
        <v>1</v>
      </c>
      <c r="D274" s="314">
        <v>10</v>
      </c>
      <c r="E274" s="314">
        <v>0</v>
      </c>
      <c r="F274" s="314">
        <v>0</v>
      </c>
      <c r="O274" s="314" t="s">
        <v>306</v>
      </c>
    </row>
    <row r="275" spans="1:15" x14ac:dyDescent="0.35">
      <c r="A275" s="319">
        <v>45977</v>
      </c>
      <c r="B275" s="314" t="s">
        <v>182</v>
      </c>
      <c r="C275" s="314">
        <v>0</v>
      </c>
      <c r="D275" s="314">
        <v>11</v>
      </c>
      <c r="E275" s="314">
        <v>0</v>
      </c>
      <c r="F275" s="314">
        <v>0</v>
      </c>
      <c r="O275" s="314" t="s">
        <v>304</v>
      </c>
    </row>
    <row r="276" spans="1:15" x14ac:dyDescent="0.35">
      <c r="A276" s="319">
        <v>45977</v>
      </c>
      <c r="B276" s="314" t="s">
        <v>188</v>
      </c>
      <c r="C276" s="314">
        <v>11</v>
      </c>
      <c r="D276" s="314">
        <v>0</v>
      </c>
      <c r="E276" s="314">
        <v>0</v>
      </c>
      <c r="F276" s="314">
        <v>0</v>
      </c>
    </row>
    <row r="277" spans="1:15" x14ac:dyDescent="0.35">
      <c r="A277" s="319">
        <v>45977</v>
      </c>
      <c r="B277" s="314" t="s">
        <v>191</v>
      </c>
      <c r="C277" s="314">
        <v>11</v>
      </c>
      <c r="D277" s="314">
        <v>0</v>
      </c>
      <c r="E277" s="314">
        <v>0</v>
      </c>
      <c r="F277" s="314">
        <v>0</v>
      </c>
    </row>
    <row r="278" spans="1:15" x14ac:dyDescent="0.35">
      <c r="A278" s="319">
        <v>45977</v>
      </c>
      <c r="B278" s="314" t="s">
        <v>274</v>
      </c>
      <c r="C278" s="314">
        <v>0</v>
      </c>
      <c r="D278" s="314">
        <v>0</v>
      </c>
      <c r="E278" s="314">
        <v>0</v>
      </c>
      <c r="F278" s="314">
        <v>0</v>
      </c>
    </row>
    <row r="279" spans="1:15" x14ac:dyDescent="0.35">
      <c r="A279" s="319">
        <v>45977</v>
      </c>
      <c r="B279" s="314" t="s">
        <v>284</v>
      </c>
      <c r="C279" s="314">
        <v>0</v>
      </c>
      <c r="D279" s="314">
        <v>0</v>
      </c>
      <c r="E279" s="314">
        <v>0</v>
      </c>
      <c r="F279" s="314">
        <v>1</v>
      </c>
    </row>
    <row r="280" spans="1:15" x14ac:dyDescent="0.35">
      <c r="A280" s="319">
        <v>45977</v>
      </c>
      <c r="B280" s="314" t="s">
        <v>285</v>
      </c>
      <c r="C280" s="314">
        <v>0</v>
      </c>
      <c r="D280" s="314">
        <v>0</v>
      </c>
      <c r="E280" s="314">
        <v>0</v>
      </c>
      <c r="F280" s="314">
        <v>1</v>
      </c>
    </row>
    <row r="281" spans="1:15" x14ac:dyDescent="0.35">
      <c r="A281" s="319">
        <v>45978</v>
      </c>
      <c r="B281" s="314" t="s">
        <v>276</v>
      </c>
      <c r="C281" s="314">
        <v>0</v>
      </c>
      <c r="D281" s="314">
        <v>0</v>
      </c>
      <c r="E281" s="314">
        <v>0</v>
      </c>
    </row>
    <row r="282" spans="1:15" x14ac:dyDescent="0.35">
      <c r="A282" s="319">
        <v>45978</v>
      </c>
      <c r="B282" s="314" t="s">
        <v>277</v>
      </c>
      <c r="C282" s="314">
        <v>0</v>
      </c>
      <c r="D282" s="314">
        <v>0</v>
      </c>
      <c r="E282" s="314">
        <v>0</v>
      </c>
    </row>
    <row r="283" spans="1:15" x14ac:dyDescent="0.35">
      <c r="A283" s="319">
        <v>45978</v>
      </c>
      <c r="B283" s="314" t="s">
        <v>278</v>
      </c>
      <c r="C283" s="314">
        <v>0</v>
      </c>
      <c r="D283" s="314">
        <v>0</v>
      </c>
      <c r="E283" s="314">
        <v>0</v>
      </c>
    </row>
    <row r="284" spans="1:15" x14ac:dyDescent="0.35">
      <c r="A284" s="319">
        <v>45978</v>
      </c>
      <c r="B284" s="314" t="s">
        <v>279</v>
      </c>
      <c r="C284" s="314">
        <v>0</v>
      </c>
      <c r="D284" s="314">
        <v>0</v>
      </c>
      <c r="E284" s="314">
        <v>0</v>
      </c>
    </row>
    <row r="285" spans="1:15" x14ac:dyDescent="0.35">
      <c r="A285" s="319">
        <v>45978</v>
      </c>
      <c r="B285" s="314" t="s">
        <v>280</v>
      </c>
      <c r="C285" s="314">
        <v>0</v>
      </c>
      <c r="D285" s="314">
        <v>0</v>
      </c>
      <c r="E285" s="314">
        <v>0</v>
      </c>
    </row>
    <row r="286" spans="1:15" x14ac:dyDescent="0.35">
      <c r="A286" s="319">
        <v>45978</v>
      </c>
      <c r="B286" s="314" t="s">
        <v>281</v>
      </c>
      <c r="C286" s="314">
        <v>0</v>
      </c>
      <c r="D286" s="314">
        <v>0</v>
      </c>
      <c r="E286" s="314">
        <v>0</v>
      </c>
    </row>
    <row r="287" spans="1:15" x14ac:dyDescent="0.35">
      <c r="A287" s="319">
        <v>45978</v>
      </c>
      <c r="B287" s="314" t="s">
        <v>173</v>
      </c>
      <c r="C287" s="321">
        <v>0</v>
      </c>
      <c r="D287" s="321">
        <v>11</v>
      </c>
      <c r="E287" s="321">
        <v>0</v>
      </c>
      <c r="F287" s="321">
        <v>0</v>
      </c>
      <c r="G287" s="321"/>
      <c r="H287" s="321"/>
      <c r="I287" s="321"/>
      <c r="J287" s="321"/>
      <c r="K287" s="321"/>
      <c r="L287" s="321"/>
      <c r="M287" s="321"/>
      <c r="N287" s="321"/>
      <c r="O287" s="321" t="s">
        <v>307</v>
      </c>
    </row>
    <row r="288" spans="1:15" x14ac:dyDescent="0.35">
      <c r="A288" s="319">
        <v>45978</v>
      </c>
      <c r="B288" s="314" t="s">
        <v>167</v>
      </c>
      <c r="C288" s="314">
        <v>0</v>
      </c>
      <c r="D288" s="314">
        <v>11</v>
      </c>
      <c r="E288" s="314">
        <v>0</v>
      </c>
      <c r="F288" s="314">
        <v>0</v>
      </c>
      <c r="O288" s="314" t="s">
        <v>307</v>
      </c>
    </row>
    <row r="289" spans="1:15" x14ac:dyDescent="0.35">
      <c r="A289" s="319">
        <v>45978</v>
      </c>
      <c r="B289" s="314" t="s">
        <v>170</v>
      </c>
      <c r="C289" s="314">
        <v>0</v>
      </c>
      <c r="D289" s="314">
        <v>11</v>
      </c>
      <c r="E289" s="314">
        <v>0</v>
      </c>
      <c r="F289" s="314">
        <v>0</v>
      </c>
      <c r="O289" s="314" t="s">
        <v>307</v>
      </c>
    </row>
    <row r="290" spans="1:15" x14ac:dyDescent="0.35">
      <c r="A290" s="319">
        <v>45978</v>
      </c>
      <c r="B290" s="314" t="s">
        <v>271</v>
      </c>
      <c r="C290" s="314">
        <v>0</v>
      </c>
      <c r="D290" s="314">
        <v>0</v>
      </c>
      <c r="E290" s="314">
        <v>11</v>
      </c>
      <c r="F290" s="314">
        <v>0</v>
      </c>
      <c r="O290" s="314" t="s">
        <v>307</v>
      </c>
    </row>
    <row r="291" spans="1:15" x14ac:dyDescent="0.35">
      <c r="A291" s="319">
        <v>45978</v>
      </c>
      <c r="B291" s="314" t="s">
        <v>273</v>
      </c>
      <c r="C291" s="314">
        <v>0</v>
      </c>
      <c r="D291" s="314">
        <v>11</v>
      </c>
      <c r="E291" s="314">
        <v>0</v>
      </c>
      <c r="F291" s="314">
        <v>0</v>
      </c>
      <c r="O291" s="314" t="s">
        <v>307</v>
      </c>
    </row>
    <row r="292" spans="1:15" x14ac:dyDescent="0.35">
      <c r="A292" s="319">
        <v>45978</v>
      </c>
      <c r="B292" s="314" t="s">
        <v>185</v>
      </c>
      <c r="C292" s="314">
        <v>0</v>
      </c>
      <c r="D292" s="314">
        <v>11</v>
      </c>
      <c r="E292" s="314">
        <v>0</v>
      </c>
      <c r="F292" s="314">
        <v>0</v>
      </c>
      <c r="O292" s="314" t="s">
        <v>307</v>
      </c>
    </row>
    <row r="293" spans="1:15" x14ac:dyDescent="0.35">
      <c r="A293" s="320">
        <v>45978</v>
      </c>
      <c r="B293" s="314" t="s">
        <v>182</v>
      </c>
      <c r="C293" s="314">
        <v>0</v>
      </c>
      <c r="D293" s="314">
        <v>11</v>
      </c>
      <c r="E293" s="314">
        <v>0</v>
      </c>
      <c r="F293" s="314">
        <v>0</v>
      </c>
      <c r="O293" s="314" t="s">
        <v>307</v>
      </c>
    </row>
    <row r="294" spans="1:15" x14ac:dyDescent="0.35">
      <c r="A294" s="320">
        <v>45978</v>
      </c>
      <c r="B294" s="314" t="s">
        <v>188</v>
      </c>
      <c r="C294" s="314">
        <v>11</v>
      </c>
      <c r="D294" s="314">
        <v>0</v>
      </c>
      <c r="E294" s="314">
        <v>0</v>
      </c>
      <c r="F294" s="314">
        <v>0</v>
      </c>
    </row>
    <row r="295" spans="1:15" x14ac:dyDescent="0.35">
      <c r="A295" s="320">
        <v>45978</v>
      </c>
      <c r="B295" s="314" t="s">
        <v>191</v>
      </c>
      <c r="C295" s="314">
        <v>11</v>
      </c>
      <c r="D295" s="314">
        <v>0</v>
      </c>
      <c r="E295" s="314">
        <v>0</v>
      </c>
      <c r="F295" s="314">
        <v>0</v>
      </c>
    </row>
    <row r="296" spans="1:15" x14ac:dyDescent="0.35">
      <c r="A296" s="320">
        <v>45978</v>
      </c>
      <c r="B296" s="314" t="s">
        <v>274</v>
      </c>
      <c r="C296" s="314">
        <v>0</v>
      </c>
      <c r="D296" s="314">
        <v>0</v>
      </c>
      <c r="E296" s="314">
        <v>0</v>
      </c>
      <c r="F296" s="314">
        <v>0</v>
      </c>
    </row>
    <row r="297" spans="1:15" x14ac:dyDescent="0.35">
      <c r="A297" s="320">
        <v>45978</v>
      </c>
      <c r="B297" s="314" t="s">
        <v>284</v>
      </c>
      <c r="C297" s="314">
        <v>0</v>
      </c>
      <c r="D297" s="314">
        <v>0</v>
      </c>
      <c r="E297" s="314">
        <v>0</v>
      </c>
      <c r="F297" s="314">
        <v>7</v>
      </c>
      <c r="O297" s="314" t="s">
        <v>308</v>
      </c>
    </row>
    <row r="298" spans="1:15" x14ac:dyDescent="0.35">
      <c r="A298" s="320">
        <v>45978</v>
      </c>
      <c r="B298" s="314" t="s">
        <v>285</v>
      </c>
      <c r="C298" s="314">
        <v>0</v>
      </c>
      <c r="D298" s="314">
        <v>0</v>
      </c>
      <c r="E298" s="314">
        <v>0</v>
      </c>
      <c r="F298" s="314">
        <v>7</v>
      </c>
      <c r="O298" s="314" t="s">
        <v>308</v>
      </c>
    </row>
    <row r="299" spans="1:15" x14ac:dyDescent="0.35">
      <c r="A299" s="320">
        <v>45985</v>
      </c>
      <c r="B299" s="314" t="s">
        <v>276</v>
      </c>
      <c r="C299" s="314">
        <v>10</v>
      </c>
      <c r="D299" s="314">
        <v>0</v>
      </c>
      <c r="E299" s="314">
        <v>0</v>
      </c>
    </row>
    <row r="300" spans="1:15" x14ac:dyDescent="0.35">
      <c r="A300" s="320">
        <v>45985</v>
      </c>
      <c r="B300" s="314" t="s">
        <v>277</v>
      </c>
      <c r="C300" s="314">
        <v>10</v>
      </c>
      <c r="D300" s="314">
        <v>0</v>
      </c>
      <c r="E300" s="314">
        <v>0</v>
      </c>
    </row>
    <row r="301" spans="1:15" x14ac:dyDescent="0.35">
      <c r="A301" s="320">
        <v>45985</v>
      </c>
      <c r="B301" s="314" t="s">
        <v>278</v>
      </c>
      <c r="C301" s="314">
        <v>10</v>
      </c>
      <c r="D301" s="314">
        <v>0</v>
      </c>
      <c r="E301" s="314">
        <v>0</v>
      </c>
    </row>
    <row r="302" spans="1:15" x14ac:dyDescent="0.35">
      <c r="A302" s="320">
        <v>45985</v>
      </c>
      <c r="B302" s="314" t="s">
        <v>279</v>
      </c>
      <c r="C302" s="314">
        <v>10</v>
      </c>
      <c r="D302" s="314">
        <v>0</v>
      </c>
      <c r="E302" s="314">
        <v>0</v>
      </c>
    </row>
    <row r="303" spans="1:15" x14ac:dyDescent="0.35">
      <c r="A303" s="320">
        <v>45985</v>
      </c>
      <c r="B303" s="314" t="s">
        <v>280</v>
      </c>
      <c r="C303" s="314">
        <v>10</v>
      </c>
      <c r="D303" s="314">
        <v>0</v>
      </c>
      <c r="E303" s="314">
        <v>0</v>
      </c>
    </row>
    <row r="304" spans="1:15" x14ac:dyDescent="0.35">
      <c r="A304" s="320">
        <v>45985</v>
      </c>
      <c r="B304" s="314" t="s">
        <v>281</v>
      </c>
      <c r="C304" s="314">
        <v>10</v>
      </c>
      <c r="D304" s="314">
        <v>0</v>
      </c>
      <c r="E304" s="314">
        <v>0</v>
      </c>
    </row>
    <row r="305" spans="1:15" x14ac:dyDescent="0.35">
      <c r="A305" s="320">
        <v>45985</v>
      </c>
      <c r="B305" s="314" t="s">
        <v>283</v>
      </c>
      <c r="C305" s="314">
        <v>10</v>
      </c>
      <c r="D305" s="314">
        <v>0</v>
      </c>
      <c r="E305" s="314">
        <v>0</v>
      </c>
    </row>
    <row r="306" spans="1:15" x14ac:dyDescent="0.35">
      <c r="A306" s="320">
        <v>45985</v>
      </c>
      <c r="B306" s="314" t="s">
        <v>173</v>
      </c>
      <c r="C306" s="314">
        <v>0.29999999999927202</v>
      </c>
      <c r="D306" s="314">
        <v>0.7</v>
      </c>
      <c r="E306" s="314">
        <v>0</v>
      </c>
      <c r="F306" s="314">
        <v>0</v>
      </c>
      <c r="O306" s="314" t="s">
        <v>309</v>
      </c>
    </row>
    <row r="307" spans="1:15" x14ac:dyDescent="0.35">
      <c r="A307" s="320">
        <v>45985</v>
      </c>
      <c r="B307" s="314" t="s">
        <v>167</v>
      </c>
      <c r="C307" s="314">
        <v>4</v>
      </c>
      <c r="D307" s="314">
        <v>6</v>
      </c>
      <c r="E307" s="314">
        <v>0</v>
      </c>
      <c r="F307" s="314">
        <v>0</v>
      </c>
      <c r="O307" s="314" t="s">
        <v>310</v>
      </c>
    </row>
    <row r="308" spans="1:15" x14ac:dyDescent="0.35">
      <c r="A308" s="320">
        <v>45985</v>
      </c>
      <c r="B308" s="314" t="s">
        <v>170</v>
      </c>
      <c r="C308" s="314">
        <v>2</v>
      </c>
      <c r="D308" s="314">
        <v>8</v>
      </c>
      <c r="E308" s="314">
        <v>0</v>
      </c>
      <c r="F308" s="314">
        <v>0</v>
      </c>
      <c r="O308" s="314" t="s">
        <v>311</v>
      </c>
    </row>
    <row r="309" spans="1:15" x14ac:dyDescent="0.35">
      <c r="A309" s="320">
        <v>45985</v>
      </c>
      <c r="B309" s="314" t="s">
        <v>271</v>
      </c>
      <c r="C309" s="314">
        <v>0</v>
      </c>
      <c r="D309" s="314">
        <v>0</v>
      </c>
      <c r="E309" s="314">
        <v>10</v>
      </c>
      <c r="F309" s="314">
        <v>0</v>
      </c>
      <c r="O309" s="314" t="s">
        <v>298</v>
      </c>
    </row>
    <row r="310" spans="1:15" x14ac:dyDescent="0.35">
      <c r="A310" s="320">
        <v>45985</v>
      </c>
      <c r="B310" s="314" t="s">
        <v>273</v>
      </c>
      <c r="C310" s="314">
        <v>3.5</v>
      </c>
      <c r="D310" s="314">
        <v>6.5</v>
      </c>
      <c r="E310" s="314">
        <v>0</v>
      </c>
      <c r="F310" s="314">
        <v>0</v>
      </c>
      <c r="O310" s="314" t="s">
        <v>312</v>
      </c>
    </row>
    <row r="311" spans="1:15" x14ac:dyDescent="0.35">
      <c r="A311" s="320">
        <v>45985</v>
      </c>
      <c r="B311" s="314" t="s">
        <v>185</v>
      </c>
      <c r="C311" s="314">
        <v>5</v>
      </c>
      <c r="D311" s="314">
        <v>5</v>
      </c>
      <c r="E311" s="314">
        <v>0</v>
      </c>
      <c r="F311" s="314">
        <v>0</v>
      </c>
      <c r="O311" s="314" t="s">
        <v>306</v>
      </c>
    </row>
    <row r="312" spans="1:15" x14ac:dyDescent="0.35">
      <c r="A312" s="320">
        <v>45985</v>
      </c>
      <c r="B312" s="314" t="s">
        <v>182</v>
      </c>
      <c r="C312" s="314">
        <v>0</v>
      </c>
      <c r="D312" s="314">
        <v>10</v>
      </c>
      <c r="E312" s="314">
        <v>0</v>
      </c>
      <c r="F312" s="314">
        <v>0</v>
      </c>
      <c r="O312" s="314" t="s">
        <v>313</v>
      </c>
    </row>
    <row r="313" spans="1:15" x14ac:dyDescent="0.35">
      <c r="A313" s="320">
        <v>45985</v>
      </c>
      <c r="B313" s="314" t="s">
        <v>188</v>
      </c>
      <c r="C313" s="314">
        <v>11</v>
      </c>
      <c r="D313" s="314">
        <v>0</v>
      </c>
      <c r="E313" s="314">
        <v>0</v>
      </c>
      <c r="F313" s="314">
        <v>0</v>
      </c>
    </row>
    <row r="314" spans="1:15" x14ac:dyDescent="0.35">
      <c r="A314" s="320">
        <v>45985</v>
      </c>
      <c r="B314" s="314" t="s">
        <v>191</v>
      </c>
      <c r="C314" s="314">
        <v>11</v>
      </c>
      <c r="D314" s="314">
        <v>0</v>
      </c>
      <c r="E314" s="314">
        <v>0</v>
      </c>
      <c r="F314" s="314">
        <v>0</v>
      </c>
    </row>
    <row r="315" spans="1:15" x14ac:dyDescent="0.35">
      <c r="A315" s="320">
        <v>45985</v>
      </c>
      <c r="B315" s="314" t="s">
        <v>274</v>
      </c>
      <c r="C315" s="314">
        <v>11</v>
      </c>
      <c r="D315" s="314">
        <v>0</v>
      </c>
      <c r="E315" s="314">
        <v>0</v>
      </c>
      <c r="F315" s="314">
        <v>0</v>
      </c>
    </row>
    <row r="316" spans="1:15" x14ac:dyDescent="0.35">
      <c r="A316" s="320">
        <v>45985</v>
      </c>
      <c r="B316" s="314" t="s">
        <v>284</v>
      </c>
      <c r="C316" s="314">
        <v>0</v>
      </c>
      <c r="D316" s="314">
        <v>0</v>
      </c>
      <c r="E316" s="314">
        <v>0</v>
      </c>
      <c r="F316" s="314">
        <v>1</v>
      </c>
    </row>
    <row r="317" spans="1:15" x14ac:dyDescent="0.35">
      <c r="A317" s="320">
        <v>45985</v>
      </c>
      <c r="B317" s="314" t="s">
        <v>285</v>
      </c>
      <c r="C317" s="314">
        <v>0</v>
      </c>
      <c r="D317" s="314">
        <v>0</v>
      </c>
      <c r="E317" s="314">
        <v>0</v>
      </c>
      <c r="F317" s="314">
        <v>1</v>
      </c>
    </row>
    <row r="318" spans="1:15" x14ac:dyDescent="0.35">
      <c r="A318" s="320">
        <v>45986</v>
      </c>
      <c r="B318" s="314" t="s">
        <v>276</v>
      </c>
      <c r="C318" s="314">
        <v>11.5</v>
      </c>
      <c r="D318" s="314">
        <v>0</v>
      </c>
      <c r="E318" s="314">
        <v>0</v>
      </c>
    </row>
    <row r="319" spans="1:15" x14ac:dyDescent="0.35">
      <c r="A319" s="320">
        <v>45986</v>
      </c>
      <c r="B319" s="314" t="s">
        <v>277</v>
      </c>
      <c r="C319" s="314">
        <v>11.5</v>
      </c>
      <c r="D319" s="314">
        <v>0</v>
      </c>
      <c r="E319" s="314">
        <v>0</v>
      </c>
    </row>
    <row r="320" spans="1:15" x14ac:dyDescent="0.35">
      <c r="A320" s="320">
        <v>45986</v>
      </c>
      <c r="B320" s="314" t="s">
        <v>278</v>
      </c>
      <c r="C320" s="314">
        <v>11.5</v>
      </c>
      <c r="D320" s="314">
        <v>0</v>
      </c>
      <c r="E320" s="314">
        <v>0</v>
      </c>
    </row>
    <row r="321" spans="1:15" x14ac:dyDescent="0.35">
      <c r="A321" s="320">
        <v>45986</v>
      </c>
      <c r="B321" s="314" t="s">
        <v>279</v>
      </c>
      <c r="C321" s="314">
        <v>11.5</v>
      </c>
      <c r="D321" s="314">
        <v>0</v>
      </c>
      <c r="E321" s="314">
        <v>0</v>
      </c>
    </row>
    <row r="322" spans="1:15" x14ac:dyDescent="0.35">
      <c r="A322" s="320">
        <v>45986</v>
      </c>
      <c r="B322" s="314" t="s">
        <v>280</v>
      </c>
      <c r="C322" s="314">
        <v>11.5</v>
      </c>
      <c r="D322" s="314">
        <v>0</v>
      </c>
      <c r="E322" s="314">
        <v>0</v>
      </c>
    </row>
    <row r="323" spans="1:15" x14ac:dyDescent="0.35">
      <c r="A323" s="320">
        <v>45986</v>
      </c>
      <c r="B323" s="314" t="s">
        <v>281</v>
      </c>
      <c r="C323" s="314">
        <v>11.5</v>
      </c>
      <c r="D323" s="314">
        <v>0</v>
      </c>
      <c r="E323" s="314">
        <v>0</v>
      </c>
    </row>
    <row r="324" spans="1:15" x14ac:dyDescent="0.35">
      <c r="A324" s="320">
        <v>45986</v>
      </c>
      <c r="B324" s="314" t="s">
        <v>283</v>
      </c>
      <c r="C324" s="314">
        <v>11.5</v>
      </c>
      <c r="D324" s="314">
        <v>0</v>
      </c>
      <c r="E324" s="314">
        <v>0</v>
      </c>
    </row>
    <row r="325" spans="1:15" x14ac:dyDescent="0.35">
      <c r="A325" s="320">
        <v>45986</v>
      </c>
      <c r="B325" s="314" t="s">
        <v>173</v>
      </c>
      <c r="C325" s="314">
        <v>1.29999999999927</v>
      </c>
      <c r="D325" s="314">
        <v>9.7000000000007294</v>
      </c>
      <c r="E325" s="314">
        <v>0</v>
      </c>
      <c r="F325" s="314">
        <v>0</v>
      </c>
      <c r="O325" s="314" t="s">
        <v>309</v>
      </c>
    </row>
    <row r="326" spans="1:15" x14ac:dyDescent="0.35">
      <c r="A326" s="320">
        <v>45986</v>
      </c>
      <c r="B326" s="314" t="s">
        <v>167</v>
      </c>
      <c r="C326" s="314">
        <v>6</v>
      </c>
      <c r="D326" s="314">
        <v>5</v>
      </c>
      <c r="E326" s="314">
        <v>0</v>
      </c>
      <c r="F326" s="314">
        <v>0</v>
      </c>
      <c r="O326" s="314" t="s">
        <v>310</v>
      </c>
    </row>
    <row r="327" spans="1:15" x14ac:dyDescent="0.35">
      <c r="A327" s="320">
        <v>45986</v>
      </c>
      <c r="B327" s="314" t="s">
        <v>170</v>
      </c>
      <c r="C327" s="314">
        <v>9</v>
      </c>
      <c r="D327" s="314">
        <v>2</v>
      </c>
      <c r="E327" s="314">
        <v>0</v>
      </c>
      <c r="F327" s="314">
        <v>0</v>
      </c>
      <c r="O327" s="314" t="s">
        <v>311</v>
      </c>
    </row>
    <row r="328" spans="1:15" x14ac:dyDescent="0.35">
      <c r="A328" s="320">
        <v>45986</v>
      </c>
      <c r="B328" s="314" t="s">
        <v>271</v>
      </c>
      <c r="C328" s="314">
        <v>0</v>
      </c>
      <c r="D328" s="314">
        <v>0</v>
      </c>
      <c r="E328" s="314">
        <v>11</v>
      </c>
      <c r="F328" s="314">
        <v>0</v>
      </c>
      <c r="O328" s="314" t="s">
        <v>298</v>
      </c>
    </row>
    <row r="329" spans="1:15" x14ac:dyDescent="0.35">
      <c r="A329" s="320">
        <v>45986</v>
      </c>
      <c r="B329" s="314" t="s">
        <v>273</v>
      </c>
      <c r="C329" s="314">
        <v>6.5</v>
      </c>
      <c r="D329" s="314">
        <v>4.5</v>
      </c>
      <c r="E329" s="314">
        <v>0</v>
      </c>
      <c r="F329" s="314">
        <v>0</v>
      </c>
      <c r="O329" s="314" t="s">
        <v>312</v>
      </c>
    </row>
    <row r="330" spans="1:15" x14ac:dyDescent="0.35">
      <c r="A330" s="320">
        <v>45986</v>
      </c>
      <c r="B330" s="314" t="s">
        <v>185</v>
      </c>
      <c r="C330" s="314">
        <v>8</v>
      </c>
      <c r="D330" s="314">
        <v>3</v>
      </c>
      <c r="E330" s="314">
        <v>0</v>
      </c>
      <c r="F330" s="314">
        <v>0</v>
      </c>
      <c r="O330" s="314" t="s">
        <v>306</v>
      </c>
    </row>
    <row r="331" spans="1:15" x14ac:dyDescent="0.35">
      <c r="A331" s="320">
        <v>45986</v>
      </c>
      <c r="B331" s="314" t="s">
        <v>182</v>
      </c>
      <c r="C331" s="314">
        <v>0.80000000000018201</v>
      </c>
      <c r="D331" s="314">
        <v>10.1999999999998</v>
      </c>
      <c r="E331" s="314">
        <v>0</v>
      </c>
      <c r="F331" s="314">
        <v>0</v>
      </c>
      <c r="O331" s="314" t="s">
        <v>314</v>
      </c>
    </row>
    <row r="332" spans="1:15" x14ac:dyDescent="0.35">
      <c r="A332" s="320">
        <v>45986</v>
      </c>
      <c r="B332" s="314" t="s">
        <v>188</v>
      </c>
      <c r="C332" s="314">
        <v>11</v>
      </c>
      <c r="D332" s="314">
        <v>0</v>
      </c>
      <c r="E332" s="314">
        <v>0</v>
      </c>
      <c r="F332" s="314">
        <v>0</v>
      </c>
    </row>
    <row r="333" spans="1:15" x14ac:dyDescent="0.35">
      <c r="A333" s="320">
        <v>45986</v>
      </c>
      <c r="B333" s="314" t="s">
        <v>191</v>
      </c>
      <c r="C333" s="314">
        <v>11</v>
      </c>
      <c r="D333" s="314">
        <v>0</v>
      </c>
      <c r="E333" s="314">
        <v>0</v>
      </c>
      <c r="F333" s="314">
        <v>0</v>
      </c>
    </row>
    <row r="334" spans="1:15" x14ac:dyDescent="0.35">
      <c r="A334" s="320">
        <v>45986</v>
      </c>
      <c r="B334" s="314" t="s">
        <v>274</v>
      </c>
      <c r="C334" s="314">
        <v>11</v>
      </c>
      <c r="D334" s="314">
        <v>0</v>
      </c>
      <c r="E334" s="314">
        <v>0</v>
      </c>
      <c r="F334" s="314">
        <v>0</v>
      </c>
    </row>
    <row r="335" spans="1:15" x14ac:dyDescent="0.35">
      <c r="A335" s="320">
        <v>45986</v>
      </c>
      <c r="B335" s="314" t="s">
        <v>284</v>
      </c>
      <c r="C335" s="314">
        <v>0</v>
      </c>
      <c r="D335" s="314">
        <v>0</v>
      </c>
      <c r="E335" s="314">
        <v>0</v>
      </c>
      <c r="F335" s="314">
        <v>1</v>
      </c>
    </row>
    <row r="336" spans="1:15" x14ac:dyDescent="0.35">
      <c r="A336" s="320">
        <v>45986</v>
      </c>
      <c r="B336" s="314" t="s">
        <v>285</v>
      </c>
      <c r="C336" s="314">
        <v>0</v>
      </c>
      <c r="D336" s="314">
        <v>0</v>
      </c>
      <c r="E336" s="314">
        <v>0</v>
      </c>
      <c r="F336" s="314">
        <v>1</v>
      </c>
    </row>
    <row r="337" spans="1:15" x14ac:dyDescent="0.35">
      <c r="A337" s="320">
        <v>45987</v>
      </c>
      <c r="B337" s="314" t="s">
        <v>276</v>
      </c>
      <c r="C337" s="314">
        <v>11.5</v>
      </c>
      <c r="D337" s="314">
        <v>0</v>
      </c>
      <c r="E337" s="314">
        <v>0</v>
      </c>
    </row>
    <row r="338" spans="1:15" x14ac:dyDescent="0.35">
      <c r="A338" s="320">
        <v>45987</v>
      </c>
      <c r="B338" s="314" t="s">
        <v>277</v>
      </c>
      <c r="C338" s="314">
        <v>11.5</v>
      </c>
      <c r="D338" s="314">
        <v>0</v>
      </c>
      <c r="E338" s="314">
        <v>0</v>
      </c>
    </row>
    <row r="339" spans="1:15" x14ac:dyDescent="0.35">
      <c r="A339" s="320">
        <v>45987</v>
      </c>
      <c r="B339" s="314" t="s">
        <v>278</v>
      </c>
      <c r="C339" s="314">
        <v>11.5</v>
      </c>
      <c r="D339" s="314">
        <v>0</v>
      </c>
      <c r="E339" s="314">
        <v>0</v>
      </c>
    </row>
    <row r="340" spans="1:15" x14ac:dyDescent="0.35">
      <c r="A340" s="320">
        <v>45987</v>
      </c>
      <c r="B340" s="314" t="s">
        <v>279</v>
      </c>
      <c r="C340" s="314">
        <v>11.5</v>
      </c>
      <c r="D340" s="314">
        <v>0</v>
      </c>
      <c r="E340" s="314">
        <v>0</v>
      </c>
    </row>
    <row r="341" spans="1:15" x14ac:dyDescent="0.35">
      <c r="A341" s="320">
        <v>45987</v>
      </c>
      <c r="B341" s="314" t="s">
        <v>280</v>
      </c>
      <c r="C341" s="314">
        <v>11.5</v>
      </c>
      <c r="D341" s="314">
        <v>0</v>
      </c>
      <c r="E341" s="314">
        <v>0</v>
      </c>
    </row>
    <row r="342" spans="1:15" x14ac:dyDescent="0.35">
      <c r="A342" s="320">
        <v>45987</v>
      </c>
      <c r="B342" s="314" t="s">
        <v>281</v>
      </c>
      <c r="C342" s="314">
        <v>11.5</v>
      </c>
      <c r="D342" s="314">
        <v>0</v>
      </c>
      <c r="E342" s="314">
        <v>0</v>
      </c>
    </row>
    <row r="343" spans="1:15" x14ac:dyDescent="0.35">
      <c r="A343" s="320">
        <v>45987</v>
      </c>
      <c r="B343" s="314" t="s">
        <v>283</v>
      </c>
      <c r="C343" s="314">
        <v>11.5</v>
      </c>
      <c r="D343" s="314">
        <v>0</v>
      </c>
      <c r="E343" s="314">
        <v>0</v>
      </c>
    </row>
    <row r="344" spans="1:15" x14ac:dyDescent="0.35">
      <c r="A344" s="320">
        <v>45987</v>
      </c>
      <c r="B344" s="314" t="s">
        <v>173</v>
      </c>
      <c r="C344" s="314">
        <v>3.5</v>
      </c>
      <c r="D344" s="314">
        <v>7.5</v>
      </c>
      <c r="E344" s="314">
        <v>0</v>
      </c>
      <c r="F344" s="314">
        <v>0</v>
      </c>
      <c r="O344" s="314" t="s">
        <v>309</v>
      </c>
    </row>
    <row r="345" spans="1:15" x14ac:dyDescent="0.35">
      <c r="A345" s="320">
        <v>45987</v>
      </c>
      <c r="B345" s="314" t="s">
        <v>167</v>
      </c>
      <c r="C345" s="314">
        <v>7</v>
      </c>
      <c r="D345" s="314">
        <v>4</v>
      </c>
      <c r="E345" s="314">
        <v>0</v>
      </c>
      <c r="F345" s="314">
        <v>0</v>
      </c>
      <c r="O345" s="314" t="s">
        <v>310</v>
      </c>
    </row>
    <row r="346" spans="1:15" x14ac:dyDescent="0.35">
      <c r="A346" s="320">
        <v>45987</v>
      </c>
      <c r="B346" s="314" t="s">
        <v>170</v>
      </c>
      <c r="C346" s="314">
        <v>8</v>
      </c>
      <c r="D346" s="314">
        <v>3</v>
      </c>
      <c r="E346" s="314">
        <v>0</v>
      </c>
      <c r="F346" s="314">
        <v>0</v>
      </c>
      <c r="O346" s="314" t="s">
        <v>311</v>
      </c>
    </row>
    <row r="347" spans="1:15" x14ac:dyDescent="0.35">
      <c r="A347" s="320">
        <v>45987</v>
      </c>
      <c r="B347" s="314" t="s">
        <v>271</v>
      </c>
      <c r="C347" s="314">
        <v>0</v>
      </c>
      <c r="D347" s="314">
        <v>0</v>
      </c>
      <c r="E347" s="314">
        <v>11</v>
      </c>
      <c r="F347" s="314">
        <v>0</v>
      </c>
      <c r="O347" s="314" t="s">
        <v>298</v>
      </c>
    </row>
    <row r="348" spans="1:15" x14ac:dyDescent="0.35">
      <c r="A348" s="320">
        <v>45987</v>
      </c>
      <c r="B348" s="314" t="s">
        <v>273</v>
      </c>
      <c r="C348" s="314">
        <v>7</v>
      </c>
      <c r="D348" s="314">
        <v>4</v>
      </c>
      <c r="E348" s="314">
        <v>0</v>
      </c>
      <c r="F348" s="314">
        <v>0</v>
      </c>
      <c r="O348" s="314" t="s">
        <v>312</v>
      </c>
    </row>
    <row r="349" spans="1:15" x14ac:dyDescent="0.35">
      <c r="A349" s="320">
        <v>45987</v>
      </c>
      <c r="B349" s="314" t="s">
        <v>185</v>
      </c>
      <c r="C349" s="314">
        <v>10</v>
      </c>
      <c r="D349" s="314">
        <v>1</v>
      </c>
      <c r="E349" s="314">
        <v>0</v>
      </c>
      <c r="F349" s="314">
        <v>0</v>
      </c>
      <c r="O349" s="314" t="s">
        <v>306</v>
      </c>
    </row>
    <row r="350" spans="1:15" x14ac:dyDescent="0.35">
      <c r="A350" s="320">
        <v>45987</v>
      </c>
      <c r="B350" s="314" t="s">
        <v>182</v>
      </c>
      <c r="C350" s="314">
        <v>0.30000000000018201</v>
      </c>
      <c r="D350" s="314">
        <v>10.6999999999998</v>
      </c>
      <c r="E350" s="314">
        <v>0</v>
      </c>
      <c r="F350" s="314">
        <v>0</v>
      </c>
      <c r="O350" s="314" t="s">
        <v>314</v>
      </c>
    </row>
    <row r="351" spans="1:15" x14ac:dyDescent="0.35">
      <c r="A351" s="320">
        <v>45987</v>
      </c>
      <c r="B351" s="314" t="s">
        <v>188</v>
      </c>
      <c r="C351" s="314">
        <v>11</v>
      </c>
      <c r="D351" s="314">
        <v>0</v>
      </c>
      <c r="E351" s="314">
        <v>0</v>
      </c>
      <c r="F351" s="314">
        <v>0</v>
      </c>
    </row>
    <row r="352" spans="1:15" x14ac:dyDescent="0.35">
      <c r="A352" s="320">
        <v>45987</v>
      </c>
      <c r="B352" s="314" t="s">
        <v>191</v>
      </c>
      <c r="C352" s="314">
        <v>11</v>
      </c>
      <c r="D352" s="314">
        <v>0</v>
      </c>
      <c r="E352" s="314">
        <v>0</v>
      </c>
      <c r="F352" s="314">
        <v>0</v>
      </c>
    </row>
    <row r="353" spans="1:15" x14ac:dyDescent="0.35">
      <c r="A353" s="320">
        <v>45987</v>
      </c>
      <c r="B353" s="314" t="s">
        <v>274</v>
      </c>
      <c r="C353" s="314">
        <v>11</v>
      </c>
      <c r="D353" s="314">
        <v>0</v>
      </c>
      <c r="E353" s="314">
        <v>0</v>
      </c>
      <c r="F353" s="314">
        <v>0</v>
      </c>
    </row>
    <row r="354" spans="1:15" x14ac:dyDescent="0.35">
      <c r="A354" s="320">
        <v>45987</v>
      </c>
      <c r="B354" s="314" t="s">
        <v>284</v>
      </c>
      <c r="C354" s="314">
        <v>0</v>
      </c>
      <c r="D354" s="314">
        <v>0</v>
      </c>
      <c r="E354" s="314">
        <v>0</v>
      </c>
      <c r="F354" s="314">
        <v>1</v>
      </c>
    </row>
    <row r="355" spans="1:15" x14ac:dyDescent="0.35">
      <c r="A355" s="320">
        <v>45987</v>
      </c>
      <c r="B355" s="314" t="s">
        <v>285</v>
      </c>
      <c r="C355" s="314">
        <v>0</v>
      </c>
      <c r="D355" s="314">
        <v>0</v>
      </c>
      <c r="E355" s="314">
        <v>0</v>
      </c>
      <c r="F355" s="314">
        <v>1</v>
      </c>
    </row>
    <row r="356" spans="1:15" x14ac:dyDescent="0.35">
      <c r="A356" s="320">
        <v>45988</v>
      </c>
      <c r="B356" s="314" t="s">
        <v>276</v>
      </c>
      <c r="C356" s="314">
        <v>11.5</v>
      </c>
      <c r="D356" s="314">
        <v>0</v>
      </c>
      <c r="E356" s="314">
        <v>0</v>
      </c>
    </row>
    <row r="357" spans="1:15" x14ac:dyDescent="0.35">
      <c r="A357" s="320">
        <v>45988</v>
      </c>
      <c r="B357" s="314" t="s">
        <v>277</v>
      </c>
      <c r="C357" s="314">
        <v>11.5</v>
      </c>
      <c r="D357" s="314">
        <v>0</v>
      </c>
      <c r="E357" s="314">
        <v>0</v>
      </c>
    </row>
    <row r="358" spans="1:15" x14ac:dyDescent="0.35">
      <c r="A358" s="320">
        <v>45988</v>
      </c>
      <c r="B358" s="314" t="s">
        <v>278</v>
      </c>
      <c r="C358" s="314">
        <v>11.5</v>
      </c>
      <c r="D358" s="314">
        <v>0</v>
      </c>
      <c r="E358" s="314">
        <v>0</v>
      </c>
    </row>
    <row r="359" spans="1:15" x14ac:dyDescent="0.35">
      <c r="A359" s="320">
        <v>45988</v>
      </c>
      <c r="B359" s="314" t="s">
        <v>279</v>
      </c>
      <c r="C359" s="314">
        <v>11.5</v>
      </c>
      <c r="D359" s="314">
        <v>0</v>
      </c>
      <c r="E359" s="314">
        <v>0</v>
      </c>
    </row>
    <row r="360" spans="1:15" x14ac:dyDescent="0.35">
      <c r="A360" s="320">
        <v>45988</v>
      </c>
      <c r="B360" s="314" t="s">
        <v>280</v>
      </c>
      <c r="C360" s="314">
        <v>11.5</v>
      </c>
      <c r="D360" s="314">
        <v>0</v>
      </c>
      <c r="E360" s="314">
        <v>0</v>
      </c>
    </row>
    <row r="361" spans="1:15" x14ac:dyDescent="0.35">
      <c r="A361" s="320">
        <v>45988</v>
      </c>
      <c r="B361" s="314" t="s">
        <v>281</v>
      </c>
      <c r="C361" s="314">
        <v>11.5</v>
      </c>
      <c r="D361" s="314">
        <v>0</v>
      </c>
      <c r="E361" s="314">
        <v>0</v>
      </c>
    </row>
    <row r="362" spans="1:15" x14ac:dyDescent="0.35">
      <c r="A362" s="320">
        <v>45988</v>
      </c>
      <c r="B362" s="314" t="s">
        <v>283</v>
      </c>
      <c r="C362" s="314">
        <v>11.5</v>
      </c>
      <c r="D362" s="314">
        <v>0</v>
      </c>
      <c r="E362" s="314">
        <v>0</v>
      </c>
    </row>
    <row r="363" spans="1:15" x14ac:dyDescent="0.35">
      <c r="A363" s="320">
        <v>45988</v>
      </c>
      <c r="B363" s="314" t="s">
        <v>173</v>
      </c>
      <c r="C363" s="314">
        <v>7.2000000000007303</v>
      </c>
      <c r="D363" s="314">
        <v>3.7999999999992702</v>
      </c>
      <c r="E363" s="314">
        <v>0</v>
      </c>
      <c r="F363" s="314">
        <v>0</v>
      </c>
      <c r="O363" s="314" t="s">
        <v>315</v>
      </c>
    </row>
    <row r="364" spans="1:15" x14ac:dyDescent="0.35">
      <c r="A364" s="320">
        <v>45988</v>
      </c>
      <c r="B364" s="314" t="s">
        <v>167</v>
      </c>
      <c r="C364" s="314">
        <v>10</v>
      </c>
      <c r="D364" s="314">
        <v>1</v>
      </c>
      <c r="E364" s="314">
        <v>0</v>
      </c>
      <c r="F364" s="314">
        <v>0</v>
      </c>
      <c r="O364" s="314" t="s">
        <v>316</v>
      </c>
    </row>
    <row r="365" spans="1:15" x14ac:dyDescent="0.35">
      <c r="A365" s="320">
        <v>45988</v>
      </c>
      <c r="B365" s="314" t="s">
        <v>170</v>
      </c>
      <c r="C365" s="314">
        <v>8</v>
      </c>
      <c r="D365" s="314">
        <v>3</v>
      </c>
      <c r="E365" s="314">
        <v>0</v>
      </c>
      <c r="F365" s="314">
        <v>0</v>
      </c>
      <c r="O365" s="314" t="s">
        <v>311</v>
      </c>
    </row>
    <row r="366" spans="1:15" x14ac:dyDescent="0.35">
      <c r="A366" s="320">
        <v>45988</v>
      </c>
      <c r="B366" s="314" t="s">
        <v>271</v>
      </c>
      <c r="C366" s="314">
        <v>0</v>
      </c>
      <c r="D366" s="314">
        <v>0</v>
      </c>
      <c r="E366" s="314">
        <v>11</v>
      </c>
      <c r="F366" s="314">
        <v>0</v>
      </c>
      <c r="O366" s="314" t="s">
        <v>298</v>
      </c>
    </row>
    <row r="367" spans="1:15" x14ac:dyDescent="0.35">
      <c r="A367" s="320">
        <v>45988</v>
      </c>
      <c r="B367" s="314" t="s">
        <v>273</v>
      </c>
      <c r="C367" s="314">
        <v>8.5</v>
      </c>
      <c r="D367" s="314">
        <v>2.5</v>
      </c>
      <c r="E367" s="314">
        <v>0</v>
      </c>
      <c r="F367" s="314">
        <v>0</v>
      </c>
      <c r="O367" s="314" t="s">
        <v>312</v>
      </c>
    </row>
    <row r="368" spans="1:15" x14ac:dyDescent="0.35">
      <c r="A368" s="320">
        <v>45988</v>
      </c>
      <c r="B368" s="314" t="s">
        <v>185</v>
      </c>
      <c r="C368" s="314">
        <v>9</v>
      </c>
      <c r="D368" s="314">
        <v>2</v>
      </c>
      <c r="E368" s="314">
        <v>0</v>
      </c>
      <c r="F368" s="314">
        <v>0</v>
      </c>
      <c r="O368" s="314" t="s">
        <v>306</v>
      </c>
    </row>
    <row r="369" spans="1:15" x14ac:dyDescent="0.35">
      <c r="A369" s="320">
        <v>45988</v>
      </c>
      <c r="B369" s="314" t="s">
        <v>182</v>
      </c>
      <c r="C369" s="314">
        <v>0.5</v>
      </c>
      <c r="D369" s="314">
        <v>10.5</v>
      </c>
      <c r="E369" s="314">
        <v>0</v>
      </c>
      <c r="F369" s="314">
        <v>0</v>
      </c>
      <c r="O369" s="314" t="s">
        <v>314</v>
      </c>
    </row>
    <row r="370" spans="1:15" x14ac:dyDescent="0.35">
      <c r="A370" s="320">
        <v>45988</v>
      </c>
      <c r="B370" s="314" t="s">
        <v>188</v>
      </c>
      <c r="C370" s="314">
        <v>11</v>
      </c>
      <c r="D370" s="314">
        <v>0</v>
      </c>
      <c r="E370" s="314">
        <v>0</v>
      </c>
      <c r="F370" s="314">
        <v>0</v>
      </c>
    </row>
    <row r="371" spans="1:15" x14ac:dyDescent="0.35">
      <c r="A371" s="320">
        <v>45988</v>
      </c>
      <c r="B371" s="314" t="s">
        <v>191</v>
      </c>
      <c r="C371" s="314">
        <v>11</v>
      </c>
      <c r="D371" s="314">
        <v>0</v>
      </c>
      <c r="E371" s="314">
        <v>0</v>
      </c>
      <c r="F371" s="314">
        <v>0</v>
      </c>
    </row>
    <row r="372" spans="1:15" x14ac:dyDescent="0.35">
      <c r="A372" s="320">
        <v>45988</v>
      </c>
      <c r="B372" s="314" t="s">
        <v>274</v>
      </c>
      <c r="C372" s="314">
        <v>11</v>
      </c>
      <c r="D372" s="314">
        <v>0</v>
      </c>
      <c r="E372" s="314">
        <v>0</v>
      </c>
      <c r="F372" s="314">
        <v>0</v>
      </c>
    </row>
    <row r="373" spans="1:15" x14ac:dyDescent="0.35">
      <c r="A373" s="320">
        <v>45988</v>
      </c>
      <c r="B373" s="314" t="s">
        <v>284</v>
      </c>
      <c r="C373" s="314">
        <v>0</v>
      </c>
      <c r="D373" s="314">
        <v>0</v>
      </c>
      <c r="E373" s="314">
        <v>0</v>
      </c>
      <c r="F373" s="314">
        <v>1</v>
      </c>
    </row>
    <row r="374" spans="1:15" x14ac:dyDescent="0.35">
      <c r="A374" s="320">
        <v>45988</v>
      </c>
      <c r="B374" s="314" t="s">
        <v>285</v>
      </c>
      <c r="C374" s="314">
        <v>0</v>
      </c>
      <c r="D374" s="314">
        <v>0</v>
      </c>
      <c r="E374" s="314">
        <v>0</v>
      </c>
      <c r="F374" s="314">
        <v>1</v>
      </c>
    </row>
    <row r="375" spans="1:15" x14ac:dyDescent="0.35">
      <c r="A375" s="320">
        <v>45989</v>
      </c>
      <c r="B375" s="314" t="s">
        <v>276</v>
      </c>
      <c r="C375" s="314">
        <v>11.5</v>
      </c>
      <c r="D375" s="314">
        <v>0</v>
      </c>
      <c r="E375" s="314">
        <v>0</v>
      </c>
    </row>
    <row r="376" spans="1:15" x14ac:dyDescent="0.35">
      <c r="A376" s="320">
        <v>45989</v>
      </c>
      <c r="B376" s="314" t="s">
        <v>277</v>
      </c>
      <c r="C376" s="314">
        <v>11.5</v>
      </c>
      <c r="D376" s="314">
        <v>0</v>
      </c>
      <c r="E376" s="314">
        <v>0</v>
      </c>
    </row>
    <row r="377" spans="1:15" x14ac:dyDescent="0.35">
      <c r="A377" s="320">
        <v>45989</v>
      </c>
      <c r="B377" s="314" t="s">
        <v>278</v>
      </c>
      <c r="C377" s="314">
        <v>11.5</v>
      </c>
      <c r="D377" s="314">
        <v>0</v>
      </c>
      <c r="E377" s="314">
        <v>0</v>
      </c>
    </row>
    <row r="378" spans="1:15" x14ac:dyDescent="0.35">
      <c r="A378" s="320">
        <v>45989</v>
      </c>
      <c r="B378" s="314" t="s">
        <v>279</v>
      </c>
      <c r="C378" s="314">
        <v>11.5</v>
      </c>
      <c r="D378" s="314">
        <v>0</v>
      </c>
      <c r="E378" s="314">
        <v>0</v>
      </c>
    </row>
    <row r="379" spans="1:15" x14ac:dyDescent="0.35">
      <c r="A379" s="320">
        <v>45989</v>
      </c>
      <c r="B379" s="314" t="s">
        <v>280</v>
      </c>
      <c r="C379" s="314">
        <v>11.5</v>
      </c>
      <c r="D379" s="314">
        <v>0</v>
      </c>
      <c r="E379" s="314">
        <v>0</v>
      </c>
    </row>
    <row r="380" spans="1:15" x14ac:dyDescent="0.35">
      <c r="A380" s="320">
        <v>45989</v>
      </c>
      <c r="B380" s="314" t="s">
        <v>281</v>
      </c>
      <c r="C380" s="314">
        <v>11.5</v>
      </c>
      <c r="D380" s="314">
        <v>0</v>
      </c>
      <c r="E380" s="314">
        <v>0</v>
      </c>
    </row>
    <row r="381" spans="1:15" x14ac:dyDescent="0.35">
      <c r="A381" s="320">
        <v>45989</v>
      </c>
      <c r="B381" s="314" t="s">
        <v>283</v>
      </c>
      <c r="C381" s="314">
        <v>11.5</v>
      </c>
      <c r="D381" s="314">
        <v>0</v>
      </c>
      <c r="E381" s="314">
        <v>0</v>
      </c>
    </row>
    <row r="382" spans="1:15" x14ac:dyDescent="0.35">
      <c r="A382" s="320">
        <v>45989</v>
      </c>
      <c r="B382" s="314" t="s">
        <v>173</v>
      </c>
      <c r="C382" s="314">
        <v>5</v>
      </c>
      <c r="D382" s="314">
        <v>6</v>
      </c>
      <c r="E382" s="314">
        <v>0</v>
      </c>
      <c r="F382" s="314">
        <v>0</v>
      </c>
      <c r="O382" s="314" t="s">
        <v>317</v>
      </c>
    </row>
    <row r="383" spans="1:15" x14ac:dyDescent="0.35">
      <c r="A383" s="320">
        <v>45989</v>
      </c>
      <c r="B383" s="314" t="s">
        <v>167</v>
      </c>
      <c r="C383" s="314">
        <v>7</v>
      </c>
      <c r="D383" s="314">
        <v>4</v>
      </c>
      <c r="E383" s="314">
        <v>0</v>
      </c>
      <c r="F383" s="314">
        <v>0</v>
      </c>
      <c r="O383" s="314" t="s">
        <v>316</v>
      </c>
    </row>
    <row r="384" spans="1:15" x14ac:dyDescent="0.35">
      <c r="A384" s="320">
        <v>45989</v>
      </c>
      <c r="B384" s="314" t="s">
        <v>170</v>
      </c>
      <c r="C384" s="314">
        <v>5</v>
      </c>
      <c r="D384" s="314">
        <v>6</v>
      </c>
      <c r="E384" s="314">
        <v>0</v>
      </c>
      <c r="F384" s="314">
        <v>0</v>
      </c>
      <c r="O384" s="314" t="s">
        <v>318</v>
      </c>
    </row>
    <row r="385" spans="1:15" x14ac:dyDescent="0.35">
      <c r="A385" s="320">
        <v>45989</v>
      </c>
      <c r="B385" s="314" t="s">
        <v>271</v>
      </c>
      <c r="C385" s="314">
        <v>0</v>
      </c>
      <c r="D385" s="314">
        <v>0</v>
      </c>
      <c r="E385" s="314">
        <v>11</v>
      </c>
      <c r="F385" s="314">
        <v>0</v>
      </c>
      <c r="O385" s="314" t="s">
        <v>298</v>
      </c>
    </row>
    <row r="386" spans="1:15" x14ac:dyDescent="0.35">
      <c r="A386" s="320">
        <v>45989</v>
      </c>
      <c r="B386" s="314" t="s">
        <v>273</v>
      </c>
      <c r="C386" s="314">
        <v>2.8000000000001801</v>
      </c>
      <c r="D386" s="314">
        <v>8.1999999999998199</v>
      </c>
      <c r="E386" s="314">
        <v>0</v>
      </c>
      <c r="F386" s="314">
        <v>0</v>
      </c>
      <c r="O386" s="314" t="s">
        <v>319</v>
      </c>
    </row>
    <row r="387" spans="1:15" x14ac:dyDescent="0.35">
      <c r="A387" s="320">
        <v>45989</v>
      </c>
      <c r="B387" s="314" t="s">
        <v>185</v>
      </c>
      <c r="C387" s="314">
        <v>6</v>
      </c>
      <c r="D387" s="314">
        <v>5</v>
      </c>
      <c r="E387" s="314">
        <v>0</v>
      </c>
      <c r="F387" s="314">
        <v>0</v>
      </c>
      <c r="O387" s="314" t="s">
        <v>306</v>
      </c>
    </row>
    <row r="388" spans="1:15" x14ac:dyDescent="0.35">
      <c r="A388" s="320">
        <v>45989</v>
      </c>
      <c r="B388" s="314" t="s">
        <v>182</v>
      </c>
      <c r="C388" s="314">
        <v>0</v>
      </c>
      <c r="D388" s="314">
        <v>11</v>
      </c>
      <c r="E388" s="314">
        <v>0</v>
      </c>
      <c r="F388" s="314">
        <v>0</v>
      </c>
      <c r="O388" s="314" t="s">
        <v>320</v>
      </c>
    </row>
    <row r="389" spans="1:15" x14ac:dyDescent="0.35">
      <c r="A389" s="320">
        <v>45989</v>
      </c>
      <c r="B389" s="314" t="s">
        <v>188</v>
      </c>
      <c r="C389" s="314">
        <v>11</v>
      </c>
      <c r="D389" s="314">
        <v>0</v>
      </c>
      <c r="E389" s="314">
        <v>0</v>
      </c>
      <c r="F389" s="314">
        <v>0</v>
      </c>
    </row>
    <row r="390" spans="1:15" x14ac:dyDescent="0.35">
      <c r="A390" s="320">
        <v>45989</v>
      </c>
      <c r="B390" s="314" t="s">
        <v>191</v>
      </c>
      <c r="C390" s="314">
        <v>11</v>
      </c>
      <c r="D390" s="314">
        <v>0</v>
      </c>
      <c r="E390" s="314">
        <v>0</v>
      </c>
      <c r="F390" s="314">
        <v>0</v>
      </c>
    </row>
    <row r="391" spans="1:15" x14ac:dyDescent="0.35">
      <c r="A391" s="320">
        <v>45989</v>
      </c>
      <c r="B391" s="314" t="s">
        <v>274</v>
      </c>
      <c r="C391" s="314">
        <v>11</v>
      </c>
      <c r="D391" s="314">
        <v>0</v>
      </c>
      <c r="E391" s="314">
        <v>0</v>
      </c>
      <c r="F391" s="314">
        <v>0</v>
      </c>
    </row>
    <row r="392" spans="1:15" x14ac:dyDescent="0.35">
      <c r="A392" s="320">
        <v>45989</v>
      </c>
      <c r="B392" s="314" t="s">
        <v>284</v>
      </c>
      <c r="C392" s="314">
        <v>0</v>
      </c>
      <c r="D392" s="314">
        <v>0</v>
      </c>
      <c r="E392" s="314">
        <v>0</v>
      </c>
      <c r="F392" s="314">
        <v>1</v>
      </c>
    </row>
    <row r="393" spans="1:15" x14ac:dyDescent="0.35">
      <c r="A393" s="320">
        <v>45989</v>
      </c>
      <c r="B393" s="314" t="s">
        <v>285</v>
      </c>
      <c r="C393" s="314">
        <v>0</v>
      </c>
      <c r="D393" s="314">
        <v>0</v>
      </c>
      <c r="E393" s="314">
        <v>0</v>
      </c>
      <c r="F393" s="314">
        <v>1</v>
      </c>
    </row>
    <row r="394" spans="1:15" x14ac:dyDescent="0.35">
      <c r="A394" s="320">
        <v>45990</v>
      </c>
      <c r="B394" s="314" t="s">
        <v>276</v>
      </c>
      <c r="C394" s="314">
        <v>11.5</v>
      </c>
      <c r="D394" s="314">
        <v>0</v>
      </c>
      <c r="E394" s="314">
        <v>0</v>
      </c>
    </row>
    <row r="395" spans="1:15" x14ac:dyDescent="0.35">
      <c r="A395" s="320">
        <v>45990</v>
      </c>
      <c r="B395" s="314" t="s">
        <v>277</v>
      </c>
      <c r="C395" s="314">
        <v>11.5</v>
      </c>
      <c r="D395" s="314">
        <v>0</v>
      </c>
      <c r="E395" s="314">
        <v>0</v>
      </c>
    </row>
    <row r="396" spans="1:15" x14ac:dyDescent="0.35">
      <c r="A396" s="320">
        <v>45990</v>
      </c>
      <c r="B396" s="314" t="s">
        <v>278</v>
      </c>
      <c r="C396" s="314">
        <v>11.5</v>
      </c>
      <c r="D396" s="314">
        <v>0</v>
      </c>
      <c r="E396" s="314">
        <v>0</v>
      </c>
    </row>
    <row r="397" spans="1:15" x14ac:dyDescent="0.35">
      <c r="A397" s="320">
        <v>45990</v>
      </c>
      <c r="B397" s="314" t="s">
        <v>279</v>
      </c>
      <c r="C397" s="314">
        <v>11.5</v>
      </c>
      <c r="D397" s="314">
        <v>0</v>
      </c>
      <c r="E397" s="314">
        <v>0</v>
      </c>
    </row>
    <row r="398" spans="1:15" x14ac:dyDescent="0.35">
      <c r="A398" s="320">
        <v>45990</v>
      </c>
      <c r="B398" s="314" t="s">
        <v>280</v>
      </c>
      <c r="C398" s="314">
        <v>11.5</v>
      </c>
      <c r="D398" s="314">
        <v>0</v>
      </c>
      <c r="E398" s="314">
        <v>0</v>
      </c>
    </row>
    <row r="399" spans="1:15" x14ac:dyDescent="0.35">
      <c r="A399" s="320">
        <v>45990</v>
      </c>
      <c r="B399" s="314" t="s">
        <v>281</v>
      </c>
      <c r="C399" s="314">
        <v>11.5</v>
      </c>
      <c r="D399" s="314">
        <v>0</v>
      </c>
      <c r="E399" s="314">
        <v>0</v>
      </c>
    </row>
    <row r="400" spans="1:15" x14ac:dyDescent="0.35">
      <c r="A400" s="320">
        <v>45990</v>
      </c>
      <c r="B400" s="314" t="s">
        <v>283</v>
      </c>
      <c r="C400" s="314">
        <v>11.5</v>
      </c>
      <c r="D400" s="314">
        <v>0</v>
      </c>
      <c r="E400" s="314">
        <v>0</v>
      </c>
    </row>
    <row r="401" spans="1:15" x14ac:dyDescent="0.35">
      <c r="A401" s="320">
        <v>45990</v>
      </c>
      <c r="B401" s="314" t="s">
        <v>173</v>
      </c>
      <c r="C401" s="314">
        <v>4.1000000000003602</v>
      </c>
      <c r="D401" s="314">
        <v>6.8999999999996398</v>
      </c>
      <c r="E401" s="314">
        <v>0</v>
      </c>
      <c r="F401" s="314">
        <v>0</v>
      </c>
      <c r="O401" s="314" t="s">
        <v>321</v>
      </c>
    </row>
    <row r="402" spans="1:15" x14ac:dyDescent="0.35">
      <c r="A402" s="320">
        <v>45990</v>
      </c>
      <c r="B402" s="314" t="s">
        <v>167</v>
      </c>
      <c r="C402" s="314">
        <v>6</v>
      </c>
      <c r="D402" s="314">
        <v>5</v>
      </c>
      <c r="E402" s="314">
        <v>0</v>
      </c>
      <c r="F402" s="314">
        <v>0</v>
      </c>
      <c r="O402" s="314" t="s">
        <v>322</v>
      </c>
    </row>
    <row r="403" spans="1:15" x14ac:dyDescent="0.35">
      <c r="A403" s="320">
        <v>45990</v>
      </c>
      <c r="B403" s="314" t="s">
        <v>170</v>
      </c>
      <c r="C403" s="314">
        <v>3</v>
      </c>
      <c r="D403" s="314">
        <v>8</v>
      </c>
      <c r="E403" s="314">
        <v>0</v>
      </c>
      <c r="F403" s="314">
        <v>0</v>
      </c>
      <c r="O403" s="314" t="s">
        <v>323</v>
      </c>
    </row>
    <row r="404" spans="1:15" x14ac:dyDescent="0.35">
      <c r="A404" s="320">
        <v>45990</v>
      </c>
      <c r="B404" s="314" t="s">
        <v>271</v>
      </c>
      <c r="C404" s="314">
        <v>0</v>
      </c>
      <c r="D404" s="314">
        <v>0</v>
      </c>
      <c r="E404" s="314">
        <v>11</v>
      </c>
      <c r="F404" s="314">
        <v>0</v>
      </c>
      <c r="O404" s="314" t="s">
        <v>298</v>
      </c>
    </row>
    <row r="405" spans="1:15" x14ac:dyDescent="0.35">
      <c r="A405" s="320">
        <v>45990</v>
      </c>
      <c r="B405" s="314" t="s">
        <v>273</v>
      </c>
      <c r="C405" s="314">
        <v>0</v>
      </c>
      <c r="D405" s="314">
        <v>0</v>
      </c>
      <c r="E405" s="314">
        <v>11</v>
      </c>
      <c r="F405" s="314">
        <v>0</v>
      </c>
      <c r="O405" s="314" t="s">
        <v>324</v>
      </c>
    </row>
    <row r="406" spans="1:15" x14ac:dyDescent="0.35">
      <c r="A406" s="320">
        <v>45990</v>
      </c>
      <c r="B406" s="314" t="s">
        <v>185</v>
      </c>
      <c r="C406" s="314">
        <v>3</v>
      </c>
      <c r="D406" s="314">
        <v>8</v>
      </c>
      <c r="E406" s="314">
        <v>0</v>
      </c>
      <c r="F406" s="314">
        <v>0</v>
      </c>
      <c r="O406" s="314" t="s">
        <v>325</v>
      </c>
    </row>
    <row r="407" spans="1:15" x14ac:dyDescent="0.35">
      <c r="A407" s="320">
        <v>45990</v>
      </c>
      <c r="B407" s="314" t="s">
        <v>182</v>
      </c>
      <c r="C407" s="314">
        <v>1.5</v>
      </c>
      <c r="D407" s="314">
        <v>9.5</v>
      </c>
      <c r="E407" s="314">
        <v>0</v>
      </c>
      <c r="F407" s="314">
        <v>0</v>
      </c>
      <c r="O407" s="314" t="s">
        <v>326</v>
      </c>
    </row>
    <row r="408" spans="1:15" x14ac:dyDescent="0.35">
      <c r="A408" s="320">
        <v>45990</v>
      </c>
      <c r="B408" s="314" t="s">
        <v>188</v>
      </c>
      <c r="C408" s="314">
        <v>11</v>
      </c>
      <c r="D408" s="314">
        <v>0</v>
      </c>
      <c r="E408" s="314">
        <v>0</v>
      </c>
      <c r="F408" s="314">
        <v>0</v>
      </c>
    </row>
    <row r="409" spans="1:15" x14ac:dyDescent="0.35">
      <c r="A409" s="320">
        <v>45990</v>
      </c>
      <c r="B409" s="314" t="s">
        <v>191</v>
      </c>
      <c r="C409" s="314">
        <v>11</v>
      </c>
      <c r="D409" s="314">
        <v>0</v>
      </c>
      <c r="E409" s="314">
        <v>0</v>
      </c>
      <c r="F409" s="314">
        <v>0</v>
      </c>
    </row>
    <row r="410" spans="1:15" x14ac:dyDescent="0.35">
      <c r="A410" s="320">
        <v>45990</v>
      </c>
      <c r="B410" s="314" t="s">
        <v>274</v>
      </c>
      <c r="C410" s="314">
        <v>11</v>
      </c>
      <c r="D410" s="314">
        <v>0</v>
      </c>
      <c r="E410" s="314">
        <v>0</v>
      </c>
      <c r="F410" s="314">
        <v>0</v>
      </c>
    </row>
    <row r="411" spans="1:15" x14ac:dyDescent="0.35">
      <c r="A411" s="320">
        <v>45990</v>
      </c>
      <c r="B411" s="314" t="s">
        <v>284</v>
      </c>
      <c r="C411" s="314">
        <v>0</v>
      </c>
      <c r="D411" s="314">
        <v>0</v>
      </c>
      <c r="E411" s="314">
        <v>0</v>
      </c>
      <c r="F411" s="314">
        <v>1</v>
      </c>
    </row>
    <row r="412" spans="1:15" x14ac:dyDescent="0.35">
      <c r="A412" s="320">
        <v>45990</v>
      </c>
      <c r="B412" s="314" t="s">
        <v>285</v>
      </c>
      <c r="C412" s="314">
        <v>0</v>
      </c>
      <c r="D412" s="314">
        <v>0</v>
      </c>
      <c r="E412" s="314">
        <v>0</v>
      </c>
      <c r="F412" s="314">
        <v>1</v>
      </c>
    </row>
    <row r="413" spans="1:15" x14ac:dyDescent="0.35">
      <c r="A413" s="320">
        <v>45991</v>
      </c>
      <c r="B413" s="314" t="s">
        <v>276</v>
      </c>
      <c r="C413" s="314">
        <v>11.5</v>
      </c>
      <c r="D413" s="314">
        <v>0</v>
      </c>
      <c r="E413" s="314">
        <v>0</v>
      </c>
    </row>
    <row r="414" spans="1:15" x14ac:dyDescent="0.35">
      <c r="A414" s="320">
        <v>45991</v>
      </c>
      <c r="B414" s="314" t="s">
        <v>277</v>
      </c>
      <c r="C414" s="314">
        <v>11.5</v>
      </c>
      <c r="D414" s="314">
        <v>0</v>
      </c>
      <c r="E414" s="314">
        <v>0</v>
      </c>
    </row>
    <row r="415" spans="1:15" x14ac:dyDescent="0.35">
      <c r="A415" s="320">
        <v>45991</v>
      </c>
      <c r="B415" s="314" t="s">
        <v>278</v>
      </c>
      <c r="C415" s="314">
        <v>11.5</v>
      </c>
      <c r="D415" s="314">
        <v>0</v>
      </c>
      <c r="E415" s="314">
        <v>0</v>
      </c>
    </row>
    <row r="416" spans="1:15" x14ac:dyDescent="0.35">
      <c r="A416" s="320">
        <v>45991</v>
      </c>
      <c r="B416" s="314" t="s">
        <v>279</v>
      </c>
      <c r="C416" s="314">
        <v>11.5</v>
      </c>
      <c r="D416" s="314">
        <v>0</v>
      </c>
      <c r="E416" s="314">
        <v>0</v>
      </c>
    </row>
    <row r="417" spans="1:15" x14ac:dyDescent="0.35">
      <c r="A417" s="320">
        <v>45991</v>
      </c>
      <c r="B417" s="314" t="s">
        <v>280</v>
      </c>
      <c r="C417" s="314">
        <v>11.5</v>
      </c>
      <c r="D417" s="314">
        <v>0</v>
      </c>
      <c r="E417" s="314">
        <v>0</v>
      </c>
    </row>
    <row r="418" spans="1:15" x14ac:dyDescent="0.35">
      <c r="A418" s="320">
        <v>45991</v>
      </c>
      <c r="B418" s="314" t="s">
        <v>281</v>
      </c>
      <c r="C418" s="314">
        <v>11.5</v>
      </c>
      <c r="D418" s="314">
        <v>0</v>
      </c>
      <c r="E418" s="314">
        <v>0</v>
      </c>
    </row>
    <row r="419" spans="1:15" x14ac:dyDescent="0.35">
      <c r="A419" s="320">
        <v>45991</v>
      </c>
      <c r="B419" s="314" t="s">
        <v>283</v>
      </c>
      <c r="C419" s="314">
        <v>11.5</v>
      </c>
      <c r="D419" s="314">
        <v>0</v>
      </c>
      <c r="E419" s="314">
        <v>0</v>
      </c>
    </row>
    <row r="420" spans="1:15" x14ac:dyDescent="0.35">
      <c r="A420" s="320">
        <v>45991</v>
      </c>
      <c r="B420" s="314" t="s">
        <v>173</v>
      </c>
      <c r="C420" s="314">
        <v>7</v>
      </c>
      <c r="D420" s="314">
        <v>4</v>
      </c>
      <c r="E420" s="314">
        <v>0</v>
      </c>
      <c r="F420" s="314">
        <v>0</v>
      </c>
      <c r="O420" s="314" t="s">
        <v>327</v>
      </c>
    </row>
    <row r="421" spans="1:15" x14ac:dyDescent="0.35">
      <c r="A421" s="320">
        <v>45991</v>
      </c>
      <c r="B421" s="314" t="s">
        <v>167</v>
      </c>
      <c r="C421" s="314">
        <v>6</v>
      </c>
      <c r="D421" s="314">
        <v>5</v>
      </c>
      <c r="E421" s="314">
        <v>0</v>
      </c>
      <c r="F421" s="314">
        <v>0</v>
      </c>
      <c r="O421" s="314" t="s">
        <v>328</v>
      </c>
    </row>
    <row r="422" spans="1:15" x14ac:dyDescent="0.35">
      <c r="A422" s="320">
        <v>45991</v>
      </c>
      <c r="B422" s="314" t="s">
        <v>170</v>
      </c>
      <c r="C422" s="314">
        <v>4</v>
      </c>
      <c r="D422" s="314">
        <v>7</v>
      </c>
      <c r="E422" s="314">
        <v>0</v>
      </c>
      <c r="F422" s="314">
        <v>0</v>
      </c>
      <c r="O422" s="314" t="s">
        <v>323</v>
      </c>
    </row>
    <row r="423" spans="1:15" x14ac:dyDescent="0.35">
      <c r="A423" s="320">
        <v>45991</v>
      </c>
      <c r="B423" s="314" t="s">
        <v>271</v>
      </c>
      <c r="C423" s="314">
        <v>0</v>
      </c>
      <c r="D423" s="314">
        <v>0</v>
      </c>
      <c r="E423" s="314">
        <v>11</v>
      </c>
      <c r="F423" s="314">
        <v>0</v>
      </c>
      <c r="O423" s="314" t="s">
        <v>298</v>
      </c>
    </row>
    <row r="424" spans="1:15" x14ac:dyDescent="0.35">
      <c r="A424" s="320">
        <v>45991</v>
      </c>
      <c r="B424" s="314" t="s">
        <v>273</v>
      </c>
      <c r="C424" s="314">
        <v>0</v>
      </c>
      <c r="D424" s="314">
        <v>0</v>
      </c>
      <c r="E424" s="314">
        <v>11</v>
      </c>
      <c r="F424" s="314">
        <v>0</v>
      </c>
      <c r="O424" s="314" t="s">
        <v>324</v>
      </c>
    </row>
    <row r="425" spans="1:15" x14ac:dyDescent="0.35">
      <c r="A425" s="320">
        <v>45991</v>
      </c>
      <c r="B425" s="314" t="s">
        <v>185</v>
      </c>
      <c r="C425" s="314">
        <v>7</v>
      </c>
      <c r="D425" s="314">
        <v>4</v>
      </c>
      <c r="E425" s="314">
        <v>0</v>
      </c>
      <c r="F425" s="314">
        <v>0</v>
      </c>
      <c r="O425" s="314" t="s">
        <v>325</v>
      </c>
    </row>
    <row r="426" spans="1:15" x14ac:dyDescent="0.35">
      <c r="A426" s="320">
        <v>45991</v>
      </c>
      <c r="B426" s="314" t="s">
        <v>182</v>
      </c>
      <c r="C426" s="314">
        <v>8.3999999999996398</v>
      </c>
      <c r="D426" s="314">
        <v>0</v>
      </c>
      <c r="E426" s="314">
        <v>2.6</v>
      </c>
      <c r="F426" s="314">
        <v>0</v>
      </c>
      <c r="O426" s="314" t="s">
        <v>329</v>
      </c>
    </row>
    <row r="427" spans="1:15" x14ac:dyDescent="0.35">
      <c r="A427" s="320">
        <v>45991</v>
      </c>
      <c r="B427" s="314" t="s">
        <v>188</v>
      </c>
      <c r="C427" s="314">
        <v>11</v>
      </c>
      <c r="D427" s="314">
        <v>0</v>
      </c>
      <c r="E427" s="314">
        <v>0</v>
      </c>
      <c r="F427" s="314">
        <v>0</v>
      </c>
    </row>
    <row r="428" spans="1:15" x14ac:dyDescent="0.35">
      <c r="A428" s="320">
        <v>45991</v>
      </c>
      <c r="B428" s="314" t="s">
        <v>191</v>
      </c>
      <c r="C428" s="314">
        <v>11</v>
      </c>
      <c r="D428" s="314">
        <v>0</v>
      </c>
      <c r="E428" s="314">
        <v>0</v>
      </c>
      <c r="F428" s="314">
        <v>0</v>
      </c>
    </row>
    <row r="429" spans="1:15" x14ac:dyDescent="0.35">
      <c r="A429" s="320">
        <v>45991</v>
      </c>
      <c r="B429" s="314" t="s">
        <v>274</v>
      </c>
      <c r="C429" s="314">
        <v>11</v>
      </c>
      <c r="D429" s="314">
        <v>0</v>
      </c>
      <c r="E429" s="314">
        <v>0</v>
      </c>
      <c r="F429" s="314">
        <v>0</v>
      </c>
    </row>
    <row r="430" spans="1:15" x14ac:dyDescent="0.35">
      <c r="A430" s="320">
        <v>45991</v>
      </c>
      <c r="B430" s="314" t="s">
        <v>284</v>
      </c>
      <c r="C430" s="314">
        <v>0</v>
      </c>
      <c r="D430" s="314">
        <v>0</v>
      </c>
      <c r="E430" s="314">
        <v>0</v>
      </c>
      <c r="F430" s="314">
        <v>1</v>
      </c>
    </row>
    <row r="431" spans="1:15" x14ac:dyDescent="0.35">
      <c r="A431" s="320">
        <v>45991</v>
      </c>
      <c r="B431" s="314" t="s">
        <v>285</v>
      </c>
      <c r="C431" s="314">
        <v>0</v>
      </c>
      <c r="D431" s="314">
        <v>0</v>
      </c>
      <c r="E431" s="314">
        <v>0</v>
      </c>
      <c r="F431" s="314">
        <v>1</v>
      </c>
    </row>
    <row r="432" spans="1:15" x14ac:dyDescent="0.35">
      <c r="A432" s="320">
        <v>45992</v>
      </c>
      <c r="B432" s="314" t="s">
        <v>276</v>
      </c>
      <c r="C432" s="314">
        <v>11.5</v>
      </c>
      <c r="D432" s="314">
        <v>0</v>
      </c>
      <c r="E432" s="314">
        <v>0</v>
      </c>
    </row>
    <row r="433" spans="1:15" x14ac:dyDescent="0.35">
      <c r="A433" s="320">
        <v>45992</v>
      </c>
      <c r="B433" s="314" t="s">
        <v>277</v>
      </c>
      <c r="C433" s="314">
        <v>11.5</v>
      </c>
      <c r="D433" s="314">
        <v>0</v>
      </c>
      <c r="E433" s="314">
        <v>0</v>
      </c>
    </row>
    <row r="434" spans="1:15" x14ac:dyDescent="0.35">
      <c r="A434" s="320">
        <v>45992</v>
      </c>
      <c r="B434" s="314" t="s">
        <v>278</v>
      </c>
      <c r="C434" s="314">
        <v>11.5</v>
      </c>
      <c r="D434" s="314">
        <v>0</v>
      </c>
      <c r="E434" s="314">
        <v>0</v>
      </c>
    </row>
    <row r="435" spans="1:15" x14ac:dyDescent="0.35">
      <c r="A435" s="320">
        <v>45992</v>
      </c>
      <c r="B435" s="314" t="s">
        <v>279</v>
      </c>
      <c r="C435" s="314">
        <v>11.5</v>
      </c>
      <c r="D435" s="314">
        <v>0</v>
      </c>
      <c r="E435" s="314">
        <v>0</v>
      </c>
    </row>
    <row r="436" spans="1:15" x14ac:dyDescent="0.35">
      <c r="A436" s="320">
        <v>45992</v>
      </c>
      <c r="B436" s="314" t="s">
        <v>280</v>
      </c>
      <c r="C436" s="314">
        <v>11.5</v>
      </c>
      <c r="D436" s="314">
        <v>0</v>
      </c>
      <c r="E436" s="314">
        <v>0</v>
      </c>
    </row>
    <row r="437" spans="1:15" x14ac:dyDescent="0.35">
      <c r="A437" s="320">
        <v>45992</v>
      </c>
      <c r="B437" s="314" t="s">
        <v>281</v>
      </c>
      <c r="C437" s="314">
        <v>11.5</v>
      </c>
      <c r="D437" s="314">
        <v>0</v>
      </c>
      <c r="E437" s="314">
        <v>0</v>
      </c>
    </row>
    <row r="438" spans="1:15" x14ac:dyDescent="0.35">
      <c r="A438" s="320">
        <v>45992</v>
      </c>
      <c r="B438" s="314" t="s">
        <v>283</v>
      </c>
      <c r="C438" s="314">
        <v>11.5</v>
      </c>
      <c r="D438" s="314">
        <v>0</v>
      </c>
      <c r="E438" s="314">
        <v>0</v>
      </c>
    </row>
    <row r="439" spans="1:15" x14ac:dyDescent="0.35">
      <c r="A439" s="320">
        <v>45992</v>
      </c>
      <c r="B439" s="314" t="s">
        <v>173</v>
      </c>
      <c r="C439" s="314">
        <v>3.7999999999992702</v>
      </c>
      <c r="D439" s="314">
        <v>7.2000000000007303</v>
      </c>
      <c r="E439" s="314">
        <v>0</v>
      </c>
      <c r="F439" s="314">
        <v>0</v>
      </c>
      <c r="O439" s="314" t="s">
        <v>327</v>
      </c>
    </row>
    <row r="440" spans="1:15" x14ac:dyDescent="0.35">
      <c r="A440" s="320">
        <v>45992</v>
      </c>
      <c r="B440" s="314" t="s">
        <v>167</v>
      </c>
      <c r="C440" s="314">
        <v>2</v>
      </c>
      <c r="D440" s="314">
        <v>9</v>
      </c>
      <c r="E440" s="314">
        <v>0</v>
      </c>
      <c r="F440" s="314">
        <v>0</v>
      </c>
      <c r="O440" s="314" t="s">
        <v>328</v>
      </c>
    </row>
    <row r="441" spans="1:15" x14ac:dyDescent="0.35">
      <c r="A441" s="320">
        <v>45992</v>
      </c>
      <c r="B441" s="314" t="s">
        <v>170</v>
      </c>
      <c r="C441" s="314">
        <v>2</v>
      </c>
      <c r="D441" s="314">
        <v>9</v>
      </c>
      <c r="E441" s="314">
        <v>0</v>
      </c>
      <c r="F441" s="314">
        <v>0</v>
      </c>
      <c r="O441" s="314" t="s">
        <v>323</v>
      </c>
    </row>
    <row r="442" spans="1:15" x14ac:dyDescent="0.35">
      <c r="A442" s="320">
        <v>45992</v>
      </c>
      <c r="B442" s="314" t="s">
        <v>271</v>
      </c>
      <c r="C442" s="314">
        <v>0</v>
      </c>
      <c r="D442" s="314">
        <v>0</v>
      </c>
      <c r="E442" s="314">
        <v>11</v>
      </c>
      <c r="F442" s="314">
        <v>0</v>
      </c>
      <c r="O442" s="314" t="s">
        <v>298</v>
      </c>
    </row>
    <row r="443" spans="1:15" x14ac:dyDescent="0.35">
      <c r="A443" s="320">
        <v>45992</v>
      </c>
      <c r="B443" s="314" t="s">
        <v>273</v>
      </c>
      <c r="C443" s="314">
        <v>0</v>
      </c>
      <c r="D443" s="314">
        <v>0</v>
      </c>
      <c r="E443" s="314">
        <v>11</v>
      </c>
      <c r="F443" s="314">
        <v>0</v>
      </c>
      <c r="O443" s="314" t="s">
        <v>324</v>
      </c>
    </row>
    <row r="444" spans="1:15" x14ac:dyDescent="0.35">
      <c r="A444" s="320">
        <v>45992</v>
      </c>
      <c r="B444" s="314" t="s">
        <v>185</v>
      </c>
      <c r="C444" s="314">
        <v>3</v>
      </c>
      <c r="D444" s="314">
        <v>8</v>
      </c>
      <c r="E444" s="314">
        <v>0</v>
      </c>
      <c r="F444" s="314">
        <v>0</v>
      </c>
      <c r="O444" s="314" t="s">
        <v>325</v>
      </c>
    </row>
    <row r="445" spans="1:15" x14ac:dyDescent="0.35">
      <c r="A445" s="320">
        <v>45992</v>
      </c>
      <c r="B445" s="314" t="s">
        <v>182</v>
      </c>
      <c r="C445" s="314">
        <v>2.6000000000003598</v>
      </c>
      <c r="D445" s="314">
        <v>8.3999999999996398</v>
      </c>
      <c r="E445" s="314">
        <v>0</v>
      </c>
      <c r="F445" s="314">
        <v>0</v>
      </c>
      <c r="O445" s="314" t="s">
        <v>326</v>
      </c>
    </row>
    <row r="446" spans="1:15" x14ac:dyDescent="0.35">
      <c r="A446" s="320">
        <v>45992</v>
      </c>
      <c r="B446" s="314" t="s">
        <v>188</v>
      </c>
      <c r="C446" s="314">
        <v>11</v>
      </c>
      <c r="D446" s="314">
        <v>0</v>
      </c>
      <c r="E446" s="314">
        <v>0</v>
      </c>
      <c r="F446" s="314">
        <v>0</v>
      </c>
    </row>
    <row r="447" spans="1:15" x14ac:dyDescent="0.35">
      <c r="A447" s="320">
        <v>45992</v>
      </c>
      <c r="B447" s="314" t="s">
        <v>191</v>
      </c>
      <c r="C447" s="314">
        <v>11</v>
      </c>
      <c r="D447" s="314">
        <v>0</v>
      </c>
      <c r="E447" s="314">
        <v>0</v>
      </c>
      <c r="F447" s="314">
        <v>0</v>
      </c>
    </row>
    <row r="448" spans="1:15" x14ac:dyDescent="0.35">
      <c r="A448" s="320">
        <v>45992</v>
      </c>
      <c r="B448" s="314" t="s">
        <v>274</v>
      </c>
      <c r="C448" s="314">
        <v>11</v>
      </c>
      <c r="D448" s="314">
        <v>0</v>
      </c>
      <c r="E448" s="314">
        <v>0</v>
      </c>
      <c r="F448" s="314">
        <v>0</v>
      </c>
    </row>
    <row r="449" spans="1:15" x14ac:dyDescent="0.35">
      <c r="A449" s="320">
        <v>45992</v>
      </c>
      <c r="B449" s="314" t="s">
        <v>284</v>
      </c>
      <c r="C449" s="314">
        <v>0</v>
      </c>
      <c r="D449" s="314">
        <v>0</v>
      </c>
      <c r="E449" s="314">
        <v>0</v>
      </c>
      <c r="F449" s="314">
        <v>1</v>
      </c>
    </row>
    <row r="450" spans="1:15" x14ac:dyDescent="0.35">
      <c r="A450" s="320">
        <v>45992</v>
      </c>
      <c r="B450" s="314" t="s">
        <v>285</v>
      </c>
      <c r="C450" s="314">
        <v>0</v>
      </c>
      <c r="D450" s="314">
        <v>0</v>
      </c>
      <c r="E450" s="314">
        <v>0</v>
      </c>
      <c r="F450" s="314">
        <v>1</v>
      </c>
    </row>
    <row r="451" spans="1:15" x14ac:dyDescent="0.35">
      <c r="A451" s="320">
        <v>45993</v>
      </c>
      <c r="B451" s="314" t="s">
        <v>276</v>
      </c>
      <c r="C451" s="314">
        <v>10</v>
      </c>
      <c r="D451" s="314">
        <v>0</v>
      </c>
      <c r="E451" s="314">
        <v>0</v>
      </c>
    </row>
    <row r="452" spans="1:15" x14ac:dyDescent="0.35">
      <c r="A452" s="320">
        <v>45993</v>
      </c>
      <c r="B452" s="314" t="s">
        <v>277</v>
      </c>
      <c r="C452" s="314">
        <v>10</v>
      </c>
      <c r="D452" s="314">
        <v>0</v>
      </c>
      <c r="E452" s="314">
        <v>0</v>
      </c>
    </row>
    <row r="453" spans="1:15" x14ac:dyDescent="0.35">
      <c r="A453" s="320">
        <v>45993</v>
      </c>
      <c r="B453" s="314" t="s">
        <v>278</v>
      </c>
      <c r="C453" s="314">
        <v>10</v>
      </c>
      <c r="D453" s="314">
        <v>0</v>
      </c>
      <c r="E453" s="314">
        <v>0</v>
      </c>
    </row>
    <row r="454" spans="1:15" x14ac:dyDescent="0.35">
      <c r="A454" s="320">
        <v>45993</v>
      </c>
      <c r="B454" s="314" t="s">
        <v>279</v>
      </c>
      <c r="C454" s="314">
        <v>10</v>
      </c>
      <c r="D454" s="314">
        <v>0</v>
      </c>
      <c r="E454" s="314">
        <v>0</v>
      </c>
    </row>
    <row r="455" spans="1:15" x14ac:dyDescent="0.35">
      <c r="A455" s="320">
        <v>45993</v>
      </c>
      <c r="B455" s="314" t="s">
        <v>280</v>
      </c>
      <c r="C455" s="314">
        <v>10</v>
      </c>
      <c r="D455" s="314">
        <v>0</v>
      </c>
      <c r="E455" s="314">
        <v>0</v>
      </c>
    </row>
    <row r="456" spans="1:15" x14ac:dyDescent="0.35">
      <c r="A456" s="320">
        <v>45993</v>
      </c>
      <c r="B456" s="314" t="s">
        <v>281</v>
      </c>
      <c r="C456" s="314">
        <v>10</v>
      </c>
      <c r="D456" s="314">
        <v>0</v>
      </c>
      <c r="E456" s="314">
        <v>0</v>
      </c>
    </row>
    <row r="457" spans="1:15" x14ac:dyDescent="0.35">
      <c r="A457" s="320">
        <v>45993</v>
      </c>
      <c r="B457" s="314" t="s">
        <v>283</v>
      </c>
      <c r="C457" s="314">
        <v>11.5</v>
      </c>
      <c r="D457" s="314">
        <v>0</v>
      </c>
      <c r="E457" s="314">
        <v>0</v>
      </c>
    </row>
    <row r="458" spans="1:15" x14ac:dyDescent="0.35">
      <c r="A458" s="320">
        <v>45993</v>
      </c>
      <c r="B458" s="314" t="s">
        <v>173</v>
      </c>
      <c r="C458" s="314">
        <v>8.3999999999996398</v>
      </c>
      <c r="D458" s="314">
        <v>2.6000000000003598</v>
      </c>
      <c r="E458" s="314">
        <v>0</v>
      </c>
      <c r="F458" s="314">
        <v>0</v>
      </c>
      <c r="O458" s="314" t="s">
        <v>327</v>
      </c>
    </row>
    <row r="459" spans="1:15" x14ac:dyDescent="0.35">
      <c r="A459" s="320">
        <v>45993</v>
      </c>
      <c r="B459" s="314" t="s">
        <v>167</v>
      </c>
      <c r="C459" s="314">
        <v>0</v>
      </c>
      <c r="D459" s="314">
        <v>11</v>
      </c>
      <c r="E459" s="314">
        <v>0</v>
      </c>
      <c r="F459" s="314">
        <v>0</v>
      </c>
      <c r="O459" s="314" t="s">
        <v>330</v>
      </c>
    </row>
    <row r="460" spans="1:15" x14ac:dyDescent="0.35">
      <c r="A460" s="320">
        <v>45993</v>
      </c>
      <c r="B460" s="314" t="s">
        <v>170</v>
      </c>
      <c r="C460" s="314">
        <v>4</v>
      </c>
      <c r="D460" s="314">
        <v>7</v>
      </c>
      <c r="E460" s="314">
        <v>0</v>
      </c>
      <c r="F460" s="314">
        <v>0</v>
      </c>
      <c r="O460" s="314" t="s">
        <v>323</v>
      </c>
    </row>
    <row r="461" spans="1:15" x14ac:dyDescent="0.35">
      <c r="A461" s="320">
        <v>45993</v>
      </c>
      <c r="B461" s="314" t="s">
        <v>271</v>
      </c>
      <c r="C461" s="314">
        <v>0</v>
      </c>
      <c r="D461" s="314">
        <v>0</v>
      </c>
      <c r="E461" s="314">
        <v>11</v>
      </c>
      <c r="F461" s="314">
        <v>0</v>
      </c>
      <c r="O461" s="314" t="s">
        <v>298</v>
      </c>
    </row>
    <row r="462" spans="1:15" x14ac:dyDescent="0.35">
      <c r="A462" s="320">
        <v>45993</v>
      </c>
      <c r="B462" s="314" t="s">
        <v>273</v>
      </c>
      <c r="C462" s="314">
        <v>0</v>
      </c>
      <c r="D462" s="314">
        <v>0</v>
      </c>
      <c r="E462" s="314">
        <v>11</v>
      </c>
      <c r="F462" s="314">
        <v>0</v>
      </c>
      <c r="O462" s="314" t="s">
        <v>324</v>
      </c>
    </row>
    <row r="463" spans="1:15" x14ac:dyDescent="0.35">
      <c r="A463" s="320">
        <v>45993</v>
      </c>
      <c r="B463" s="314" t="s">
        <v>185</v>
      </c>
      <c r="C463" s="314">
        <v>7</v>
      </c>
      <c r="D463" s="314">
        <v>4</v>
      </c>
      <c r="E463" s="314">
        <v>0</v>
      </c>
      <c r="F463" s="314">
        <v>0</v>
      </c>
      <c r="O463" s="314" t="s">
        <v>325</v>
      </c>
    </row>
    <row r="464" spans="1:15" x14ac:dyDescent="0.35">
      <c r="A464" s="320">
        <v>45993</v>
      </c>
      <c r="B464" s="314" t="s">
        <v>182</v>
      </c>
      <c r="C464" s="314">
        <v>3.5</v>
      </c>
      <c r="D464" s="314">
        <v>3.5</v>
      </c>
      <c r="E464" s="314">
        <v>4</v>
      </c>
      <c r="F464" s="314">
        <v>0</v>
      </c>
      <c r="O464" s="314" t="s">
        <v>326</v>
      </c>
    </row>
    <row r="465" spans="1:15" x14ac:dyDescent="0.35">
      <c r="A465" s="320">
        <v>45993</v>
      </c>
      <c r="B465" s="314" t="s">
        <v>188</v>
      </c>
      <c r="C465" s="314">
        <v>11</v>
      </c>
      <c r="D465" s="314">
        <v>0</v>
      </c>
      <c r="E465" s="314">
        <v>0</v>
      </c>
      <c r="F465" s="314">
        <v>0</v>
      </c>
    </row>
    <row r="466" spans="1:15" x14ac:dyDescent="0.35">
      <c r="A466" s="320">
        <v>45993</v>
      </c>
      <c r="B466" s="314" t="s">
        <v>191</v>
      </c>
      <c r="C466" s="314">
        <v>11</v>
      </c>
      <c r="D466" s="314">
        <v>0</v>
      </c>
      <c r="E466" s="314">
        <v>0</v>
      </c>
      <c r="F466" s="314">
        <v>0</v>
      </c>
    </row>
    <row r="467" spans="1:15" x14ac:dyDescent="0.35">
      <c r="A467" s="320">
        <v>45993</v>
      </c>
      <c r="B467" s="314" t="s">
        <v>274</v>
      </c>
      <c r="C467" s="314">
        <v>11</v>
      </c>
      <c r="D467" s="314">
        <v>0</v>
      </c>
      <c r="E467" s="314">
        <v>0</v>
      </c>
      <c r="F467" s="314">
        <v>0</v>
      </c>
    </row>
    <row r="468" spans="1:15" x14ac:dyDescent="0.35">
      <c r="A468" s="320">
        <v>45993</v>
      </c>
      <c r="B468" s="314" t="s">
        <v>284</v>
      </c>
      <c r="C468" s="314">
        <v>0</v>
      </c>
      <c r="D468" s="314">
        <v>0</v>
      </c>
      <c r="E468" s="314">
        <v>0</v>
      </c>
      <c r="F468" s="314">
        <v>1</v>
      </c>
    </row>
    <row r="469" spans="1:15" x14ac:dyDescent="0.35">
      <c r="A469" s="320">
        <v>45993</v>
      </c>
      <c r="B469" s="314" t="s">
        <v>285</v>
      </c>
      <c r="C469" s="314">
        <v>0</v>
      </c>
      <c r="D469" s="314">
        <v>0</v>
      </c>
      <c r="E469" s="314">
        <v>0</v>
      </c>
      <c r="F469" s="314">
        <v>1</v>
      </c>
    </row>
    <row r="470" spans="1:15" x14ac:dyDescent="0.35">
      <c r="A470" s="320">
        <v>45994</v>
      </c>
      <c r="B470" s="314" t="s">
        <v>276</v>
      </c>
      <c r="C470" s="314">
        <v>10</v>
      </c>
      <c r="D470" s="314">
        <v>0</v>
      </c>
      <c r="E470" s="314">
        <v>0</v>
      </c>
    </row>
    <row r="471" spans="1:15" x14ac:dyDescent="0.35">
      <c r="A471" s="320">
        <v>45994</v>
      </c>
      <c r="B471" s="314" t="s">
        <v>277</v>
      </c>
      <c r="C471" s="314">
        <v>10</v>
      </c>
      <c r="D471" s="314">
        <v>0</v>
      </c>
      <c r="E471" s="314">
        <v>0</v>
      </c>
    </row>
    <row r="472" spans="1:15" x14ac:dyDescent="0.35">
      <c r="A472" s="320">
        <v>45994</v>
      </c>
      <c r="B472" s="314" t="s">
        <v>278</v>
      </c>
      <c r="C472" s="314">
        <v>10</v>
      </c>
      <c r="D472" s="314">
        <v>0</v>
      </c>
      <c r="E472" s="314">
        <v>0</v>
      </c>
    </row>
    <row r="473" spans="1:15" x14ac:dyDescent="0.35">
      <c r="A473" s="320">
        <v>45994</v>
      </c>
      <c r="B473" s="314" t="s">
        <v>279</v>
      </c>
      <c r="C473" s="314">
        <v>10</v>
      </c>
      <c r="D473" s="314">
        <v>0</v>
      </c>
      <c r="E473" s="314">
        <v>0</v>
      </c>
    </row>
    <row r="474" spans="1:15" x14ac:dyDescent="0.35">
      <c r="A474" s="320">
        <v>45994</v>
      </c>
      <c r="B474" s="314" t="s">
        <v>280</v>
      </c>
      <c r="C474" s="314">
        <v>10</v>
      </c>
      <c r="D474" s="314">
        <v>0</v>
      </c>
      <c r="E474" s="314">
        <v>0</v>
      </c>
    </row>
    <row r="475" spans="1:15" x14ac:dyDescent="0.35">
      <c r="A475" s="320">
        <v>45994</v>
      </c>
      <c r="B475" s="314" t="s">
        <v>281</v>
      </c>
      <c r="C475" s="314">
        <v>10</v>
      </c>
      <c r="D475" s="314">
        <v>0</v>
      </c>
      <c r="E475" s="314">
        <v>0</v>
      </c>
    </row>
    <row r="476" spans="1:15" x14ac:dyDescent="0.35">
      <c r="A476" s="320">
        <v>45994</v>
      </c>
      <c r="B476" s="314" t="s">
        <v>283</v>
      </c>
      <c r="C476" s="314">
        <v>11.5</v>
      </c>
      <c r="D476" s="314">
        <v>0</v>
      </c>
      <c r="E476" s="314">
        <v>0</v>
      </c>
    </row>
    <row r="477" spans="1:15" x14ac:dyDescent="0.35">
      <c r="A477" s="320">
        <v>45994</v>
      </c>
      <c r="B477" s="314" t="s">
        <v>173</v>
      </c>
      <c r="C477" s="314">
        <v>1.8000000000010901</v>
      </c>
      <c r="D477" s="314">
        <v>8.1999999999989104</v>
      </c>
      <c r="E477" s="314">
        <v>0</v>
      </c>
      <c r="F477" s="314">
        <v>0</v>
      </c>
      <c r="O477" s="314" t="s">
        <v>327</v>
      </c>
    </row>
    <row r="478" spans="1:15" x14ac:dyDescent="0.35">
      <c r="A478" s="320">
        <v>45994</v>
      </c>
      <c r="B478" s="314" t="s">
        <v>167</v>
      </c>
      <c r="C478" s="314">
        <v>0</v>
      </c>
      <c r="D478" s="314">
        <v>10</v>
      </c>
      <c r="E478" s="314">
        <v>10</v>
      </c>
      <c r="F478" s="314">
        <v>0</v>
      </c>
      <c r="O478" s="314" t="s">
        <v>330</v>
      </c>
    </row>
    <row r="479" spans="1:15" x14ac:dyDescent="0.35">
      <c r="A479" s="320">
        <v>45994</v>
      </c>
      <c r="B479" s="314" t="s">
        <v>170</v>
      </c>
      <c r="C479" s="314">
        <v>5</v>
      </c>
      <c r="D479" s="314">
        <v>5</v>
      </c>
      <c r="E479" s="314">
        <v>0</v>
      </c>
      <c r="F479" s="314">
        <v>0</v>
      </c>
      <c r="O479" s="314" t="s">
        <v>331</v>
      </c>
    </row>
    <row r="480" spans="1:15" x14ac:dyDescent="0.35">
      <c r="A480" s="320">
        <v>45994</v>
      </c>
      <c r="B480" s="314" t="s">
        <v>271</v>
      </c>
      <c r="C480" s="314">
        <v>0</v>
      </c>
      <c r="D480" s="314">
        <v>10</v>
      </c>
      <c r="E480" s="314">
        <v>10</v>
      </c>
      <c r="F480" s="314">
        <v>0</v>
      </c>
      <c r="O480" s="314" t="s">
        <v>298</v>
      </c>
    </row>
    <row r="481" spans="1:15" x14ac:dyDescent="0.35">
      <c r="A481" s="320">
        <v>45994</v>
      </c>
      <c r="B481" s="314" t="s">
        <v>273</v>
      </c>
      <c r="C481" s="314">
        <v>0</v>
      </c>
      <c r="D481" s="314">
        <v>10</v>
      </c>
      <c r="E481" s="314">
        <v>10</v>
      </c>
      <c r="F481" s="314">
        <v>0</v>
      </c>
      <c r="O481" s="314" t="s">
        <v>324</v>
      </c>
    </row>
    <row r="482" spans="1:15" x14ac:dyDescent="0.35">
      <c r="A482" s="320">
        <v>45994</v>
      </c>
      <c r="B482" s="314" t="s">
        <v>185</v>
      </c>
      <c r="C482" s="314">
        <v>5</v>
      </c>
      <c r="D482" s="314">
        <v>5</v>
      </c>
      <c r="E482" s="314">
        <v>0</v>
      </c>
      <c r="F482" s="314">
        <v>0</v>
      </c>
      <c r="O482" s="314" t="s">
        <v>332</v>
      </c>
    </row>
    <row r="483" spans="1:15" x14ac:dyDescent="0.35">
      <c r="A483" s="320">
        <v>45994</v>
      </c>
      <c r="B483" s="314" t="s">
        <v>182</v>
      </c>
      <c r="C483" s="314">
        <v>4.3000000000001801</v>
      </c>
      <c r="D483" s="314">
        <v>5.6999999999998199</v>
      </c>
      <c r="E483" s="314">
        <v>0</v>
      </c>
      <c r="F483" s="314">
        <v>0</v>
      </c>
      <c r="O483" s="314" t="s">
        <v>326</v>
      </c>
    </row>
    <row r="484" spans="1:15" x14ac:dyDescent="0.35">
      <c r="A484" s="320">
        <v>45994</v>
      </c>
      <c r="B484" s="314" t="s">
        <v>188</v>
      </c>
      <c r="C484" s="314">
        <v>11</v>
      </c>
      <c r="D484" s="314">
        <v>0</v>
      </c>
      <c r="E484" s="314">
        <v>0</v>
      </c>
      <c r="F484" s="314">
        <v>0</v>
      </c>
    </row>
    <row r="485" spans="1:15" x14ac:dyDescent="0.35">
      <c r="A485" s="320">
        <v>45994</v>
      </c>
      <c r="B485" s="314" t="s">
        <v>191</v>
      </c>
      <c r="C485" s="314">
        <v>11</v>
      </c>
      <c r="D485" s="314">
        <v>0</v>
      </c>
      <c r="E485" s="314">
        <v>0</v>
      </c>
      <c r="F485" s="314">
        <v>0</v>
      </c>
    </row>
    <row r="486" spans="1:15" x14ac:dyDescent="0.35">
      <c r="A486" s="320">
        <v>45994</v>
      </c>
      <c r="B486" s="314" t="s">
        <v>274</v>
      </c>
      <c r="C486" s="314">
        <v>11</v>
      </c>
      <c r="D486" s="314">
        <v>0</v>
      </c>
      <c r="E486" s="314">
        <v>0</v>
      </c>
      <c r="F486" s="314">
        <v>0</v>
      </c>
    </row>
    <row r="487" spans="1:15" x14ac:dyDescent="0.35">
      <c r="A487" s="320">
        <v>45994</v>
      </c>
      <c r="B487" s="314" t="s">
        <v>284</v>
      </c>
      <c r="C487" s="314">
        <v>0</v>
      </c>
      <c r="D487" s="314">
        <v>0</v>
      </c>
      <c r="E487" s="314">
        <v>0</v>
      </c>
      <c r="F487" s="314">
        <v>1</v>
      </c>
    </row>
    <row r="488" spans="1:15" x14ac:dyDescent="0.35">
      <c r="A488" s="320">
        <v>45994</v>
      </c>
      <c r="B488" s="314" t="s">
        <v>285</v>
      </c>
      <c r="C488" s="314">
        <v>0</v>
      </c>
      <c r="D488" s="314">
        <v>0</v>
      </c>
      <c r="E488" s="314">
        <v>0</v>
      </c>
      <c r="F488" s="314">
        <v>1</v>
      </c>
    </row>
    <row r="489" spans="1:15" x14ac:dyDescent="0.35">
      <c r="A489" s="320">
        <v>45995</v>
      </c>
      <c r="B489" s="314" t="s">
        <v>276</v>
      </c>
      <c r="C489" s="314">
        <v>10</v>
      </c>
      <c r="D489" s="314">
        <v>0</v>
      </c>
      <c r="E489" s="314">
        <v>0</v>
      </c>
    </row>
    <row r="490" spans="1:15" x14ac:dyDescent="0.35">
      <c r="A490" s="320">
        <v>45995</v>
      </c>
      <c r="B490" s="314" t="s">
        <v>277</v>
      </c>
      <c r="C490" s="314">
        <v>10</v>
      </c>
      <c r="D490" s="314">
        <v>0</v>
      </c>
      <c r="E490" s="314">
        <v>0</v>
      </c>
    </row>
    <row r="491" spans="1:15" x14ac:dyDescent="0.35">
      <c r="A491" s="320">
        <v>45995</v>
      </c>
      <c r="B491" s="314" t="s">
        <v>278</v>
      </c>
      <c r="C491" s="314">
        <v>10</v>
      </c>
      <c r="D491" s="314">
        <v>0</v>
      </c>
      <c r="E491" s="314">
        <v>0</v>
      </c>
    </row>
    <row r="492" spans="1:15" x14ac:dyDescent="0.35">
      <c r="A492" s="320">
        <v>45995</v>
      </c>
      <c r="B492" s="314" t="s">
        <v>279</v>
      </c>
      <c r="C492" s="314">
        <v>10</v>
      </c>
      <c r="D492" s="314">
        <v>0</v>
      </c>
      <c r="E492" s="314">
        <v>0</v>
      </c>
    </row>
    <row r="493" spans="1:15" x14ac:dyDescent="0.35">
      <c r="A493" s="320">
        <v>45995</v>
      </c>
      <c r="B493" s="314" t="s">
        <v>280</v>
      </c>
      <c r="C493" s="314">
        <v>10</v>
      </c>
      <c r="D493" s="314">
        <v>0</v>
      </c>
      <c r="E493" s="314">
        <v>0</v>
      </c>
    </row>
    <row r="494" spans="1:15" x14ac:dyDescent="0.35">
      <c r="A494" s="320">
        <v>45995</v>
      </c>
      <c r="B494" s="314" t="s">
        <v>281</v>
      </c>
      <c r="C494" s="314">
        <v>10</v>
      </c>
      <c r="D494" s="314">
        <v>0</v>
      </c>
      <c r="E494" s="314">
        <v>0</v>
      </c>
    </row>
    <row r="495" spans="1:15" x14ac:dyDescent="0.35">
      <c r="A495" s="320">
        <v>45995</v>
      </c>
      <c r="B495" s="314" t="s">
        <v>283</v>
      </c>
      <c r="C495" s="314">
        <v>11.5</v>
      </c>
      <c r="D495" s="314">
        <v>0</v>
      </c>
      <c r="E495" s="314">
        <v>0</v>
      </c>
    </row>
    <row r="496" spans="1:15" x14ac:dyDescent="0.35">
      <c r="A496" s="320">
        <v>45995</v>
      </c>
      <c r="B496" s="314" t="s">
        <v>173</v>
      </c>
      <c r="C496" s="314">
        <v>7.1000000000003602</v>
      </c>
      <c r="D496" s="314">
        <v>2.8999999999996402</v>
      </c>
      <c r="E496" s="314">
        <v>0</v>
      </c>
      <c r="F496" s="314">
        <v>0</v>
      </c>
      <c r="O496" s="314" t="s">
        <v>327</v>
      </c>
    </row>
    <row r="497" spans="1:15" x14ac:dyDescent="0.35">
      <c r="A497" s="320">
        <v>45995</v>
      </c>
      <c r="B497" s="314" t="s">
        <v>167</v>
      </c>
      <c r="C497" s="314">
        <v>0</v>
      </c>
      <c r="D497" s="314">
        <v>10</v>
      </c>
      <c r="E497" s="314">
        <v>10</v>
      </c>
      <c r="F497" s="314">
        <v>0</v>
      </c>
      <c r="O497" s="314" t="s">
        <v>330</v>
      </c>
    </row>
    <row r="498" spans="1:15" x14ac:dyDescent="0.35">
      <c r="A498" s="320">
        <v>45995</v>
      </c>
      <c r="B498" s="314" t="s">
        <v>170</v>
      </c>
      <c r="C498" s="314">
        <v>7</v>
      </c>
      <c r="D498" s="314">
        <v>3</v>
      </c>
      <c r="E498" s="314">
        <v>0</v>
      </c>
      <c r="F498" s="314">
        <v>0</v>
      </c>
      <c r="O498" s="314" t="s">
        <v>331</v>
      </c>
    </row>
    <row r="499" spans="1:15" x14ac:dyDescent="0.35">
      <c r="A499" s="320">
        <v>45995</v>
      </c>
      <c r="B499" s="314" t="s">
        <v>271</v>
      </c>
      <c r="C499" s="314">
        <v>0</v>
      </c>
      <c r="D499" s="314">
        <v>10</v>
      </c>
      <c r="E499" s="314">
        <v>10</v>
      </c>
      <c r="F499" s="314">
        <v>0</v>
      </c>
      <c r="O499" s="314" t="s">
        <v>298</v>
      </c>
    </row>
    <row r="500" spans="1:15" x14ac:dyDescent="0.35">
      <c r="A500" s="320">
        <v>45995</v>
      </c>
      <c r="B500" s="314" t="s">
        <v>273</v>
      </c>
      <c r="C500" s="314">
        <v>0</v>
      </c>
      <c r="D500" s="314">
        <v>10</v>
      </c>
      <c r="E500" s="314">
        <v>10</v>
      </c>
      <c r="F500" s="314">
        <v>0</v>
      </c>
      <c r="O500" s="314" t="s">
        <v>324</v>
      </c>
    </row>
    <row r="501" spans="1:15" x14ac:dyDescent="0.35">
      <c r="A501" s="320">
        <v>45995</v>
      </c>
      <c r="B501" s="314" t="s">
        <v>185</v>
      </c>
      <c r="C501" s="314">
        <v>4</v>
      </c>
      <c r="D501" s="314">
        <v>6</v>
      </c>
      <c r="E501" s="314">
        <v>0</v>
      </c>
      <c r="F501" s="314">
        <v>0</v>
      </c>
      <c r="O501" s="314" t="s">
        <v>332</v>
      </c>
    </row>
    <row r="502" spans="1:15" x14ac:dyDescent="0.35">
      <c r="A502" s="320">
        <v>45995</v>
      </c>
      <c r="B502" s="314" t="s">
        <v>182</v>
      </c>
      <c r="C502" s="314">
        <v>5.6999999999998199</v>
      </c>
      <c r="D502" s="314">
        <v>4.3000000000001801</v>
      </c>
      <c r="E502" s="314">
        <v>0</v>
      </c>
      <c r="F502" s="314">
        <v>0</v>
      </c>
      <c r="O502" s="314" t="s">
        <v>326</v>
      </c>
    </row>
    <row r="503" spans="1:15" x14ac:dyDescent="0.35">
      <c r="A503" s="320">
        <v>45995</v>
      </c>
      <c r="B503" s="314" t="s">
        <v>188</v>
      </c>
      <c r="C503" s="314">
        <v>11</v>
      </c>
      <c r="D503" s="314">
        <v>0</v>
      </c>
      <c r="E503" s="314">
        <v>0</v>
      </c>
      <c r="F503" s="314">
        <v>0</v>
      </c>
    </row>
    <row r="504" spans="1:15" x14ac:dyDescent="0.35">
      <c r="A504" s="320">
        <v>45995</v>
      </c>
      <c r="B504" s="314" t="s">
        <v>191</v>
      </c>
      <c r="C504" s="314">
        <v>11</v>
      </c>
      <c r="D504" s="314">
        <v>0</v>
      </c>
      <c r="E504" s="314">
        <v>0</v>
      </c>
      <c r="F504" s="314">
        <v>0</v>
      </c>
    </row>
    <row r="505" spans="1:15" x14ac:dyDescent="0.35">
      <c r="A505" s="320">
        <v>45995</v>
      </c>
      <c r="B505" s="314" t="s">
        <v>274</v>
      </c>
      <c r="C505" s="314">
        <v>11</v>
      </c>
      <c r="D505" s="314">
        <v>0</v>
      </c>
      <c r="E505" s="314">
        <v>0</v>
      </c>
      <c r="F505" s="314">
        <v>0</v>
      </c>
    </row>
    <row r="506" spans="1:15" x14ac:dyDescent="0.35">
      <c r="A506" s="320">
        <v>45995</v>
      </c>
      <c r="B506" s="314" t="s">
        <v>284</v>
      </c>
      <c r="C506" s="314">
        <v>0</v>
      </c>
      <c r="D506" s="314">
        <v>0</v>
      </c>
      <c r="E506" s="314">
        <v>0</v>
      </c>
      <c r="F506" s="314">
        <v>1</v>
      </c>
    </row>
    <row r="507" spans="1:15" x14ac:dyDescent="0.35">
      <c r="A507" s="320">
        <v>45995</v>
      </c>
      <c r="B507" s="314" t="s">
        <v>285</v>
      </c>
      <c r="C507" s="314">
        <v>0</v>
      </c>
      <c r="D507" s="314">
        <v>0</v>
      </c>
      <c r="E507" s="314">
        <v>0</v>
      </c>
      <c r="F507" s="314">
        <v>1</v>
      </c>
    </row>
    <row r="508" spans="1:15" x14ac:dyDescent="0.35">
      <c r="A508" s="320">
        <v>45997</v>
      </c>
      <c r="B508" s="314" t="s">
        <v>276</v>
      </c>
      <c r="C508" s="314">
        <v>10</v>
      </c>
      <c r="D508" s="314">
        <v>0</v>
      </c>
      <c r="E508" s="314">
        <v>0</v>
      </c>
    </row>
    <row r="509" spans="1:15" x14ac:dyDescent="0.35">
      <c r="A509" s="320">
        <v>45997</v>
      </c>
      <c r="B509" s="314" t="s">
        <v>277</v>
      </c>
      <c r="C509" s="314">
        <v>10</v>
      </c>
      <c r="D509" s="314">
        <v>0</v>
      </c>
      <c r="E509" s="314">
        <v>0</v>
      </c>
    </row>
    <row r="510" spans="1:15" x14ac:dyDescent="0.35">
      <c r="A510" s="320">
        <v>45997</v>
      </c>
      <c r="B510" s="314" t="s">
        <v>278</v>
      </c>
      <c r="C510" s="314">
        <v>10</v>
      </c>
      <c r="D510" s="314">
        <v>0</v>
      </c>
      <c r="E510" s="314">
        <v>0</v>
      </c>
    </row>
    <row r="511" spans="1:15" x14ac:dyDescent="0.35">
      <c r="A511" s="320">
        <v>45997</v>
      </c>
      <c r="B511" s="314" t="s">
        <v>279</v>
      </c>
      <c r="C511" s="314">
        <v>10</v>
      </c>
      <c r="D511" s="314">
        <v>0</v>
      </c>
      <c r="E511" s="314">
        <v>0</v>
      </c>
    </row>
    <row r="512" spans="1:15" x14ac:dyDescent="0.35">
      <c r="A512" s="320">
        <v>45997</v>
      </c>
      <c r="B512" s="314" t="s">
        <v>280</v>
      </c>
      <c r="C512" s="314">
        <v>10</v>
      </c>
      <c r="D512" s="314">
        <v>0</v>
      </c>
      <c r="E512" s="314">
        <v>0</v>
      </c>
    </row>
    <row r="513" spans="1:15" x14ac:dyDescent="0.35">
      <c r="A513" s="320">
        <v>45997</v>
      </c>
      <c r="B513" s="314" t="s">
        <v>281</v>
      </c>
      <c r="C513" s="314">
        <v>10</v>
      </c>
      <c r="D513" s="314">
        <v>0</v>
      </c>
      <c r="E513" s="314">
        <v>0</v>
      </c>
    </row>
    <row r="514" spans="1:15" x14ac:dyDescent="0.35">
      <c r="A514" s="320">
        <v>45997</v>
      </c>
      <c r="B514" s="314" t="s">
        <v>283</v>
      </c>
      <c r="C514" s="314">
        <v>11.5</v>
      </c>
      <c r="D514" s="314">
        <v>0</v>
      </c>
      <c r="E514" s="314">
        <v>0</v>
      </c>
    </row>
    <row r="515" spans="1:15" x14ac:dyDescent="0.35">
      <c r="A515" s="320">
        <v>45997</v>
      </c>
      <c r="B515" s="314" t="s">
        <v>173</v>
      </c>
      <c r="C515" s="314">
        <v>0</v>
      </c>
      <c r="D515" s="314">
        <v>10</v>
      </c>
      <c r="E515" s="314">
        <v>0</v>
      </c>
      <c r="F515" s="314">
        <v>0</v>
      </c>
      <c r="O515" s="314" t="s">
        <v>333</v>
      </c>
    </row>
    <row r="516" spans="1:15" x14ac:dyDescent="0.35">
      <c r="A516" s="320">
        <v>45997</v>
      </c>
      <c r="B516" s="314" t="s">
        <v>167</v>
      </c>
      <c r="C516" s="314">
        <v>0</v>
      </c>
      <c r="D516" s="314">
        <v>10</v>
      </c>
      <c r="E516" s="314">
        <v>0</v>
      </c>
      <c r="F516" s="314">
        <v>0</v>
      </c>
      <c r="O516" s="314" t="s">
        <v>333</v>
      </c>
    </row>
    <row r="517" spans="1:15" x14ac:dyDescent="0.35">
      <c r="A517" s="320">
        <v>45997</v>
      </c>
      <c r="B517" s="314" t="s">
        <v>170</v>
      </c>
      <c r="C517" s="314">
        <v>0</v>
      </c>
      <c r="D517" s="314">
        <v>10</v>
      </c>
      <c r="E517" s="314">
        <v>0</v>
      </c>
      <c r="F517" s="314">
        <v>0</v>
      </c>
      <c r="O517" s="314" t="s">
        <v>333</v>
      </c>
    </row>
    <row r="518" spans="1:15" x14ac:dyDescent="0.35">
      <c r="A518" s="320">
        <v>45997</v>
      </c>
      <c r="B518" s="314" t="s">
        <v>271</v>
      </c>
      <c r="C518" s="314">
        <v>0</v>
      </c>
      <c r="D518" s="314">
        <v>10</v>
      </c>
      <c r="E518" s="314">
        <v>10</v>
      </c>
      <c r="F518" s="314">
        <v>0</v>
      </c>
      <c r="O518" s="314" t="s">
        <v>298</v>
      </c>
    </row>
    <row r="519" spans="1:15" x14ac:dyDescent="0.35">
      <c r="A519" s="320">
        <v>45997</v>
      </c>
      <c r="B519" s="314" t="s">
        <v>273</v>
      </c>
      <c r="C519" s="314">
        <v>0</v>
      </c>
      <c r="D519" s="314">
        <v>10</v>
      </c>
      <c r="E519" s="314">
        <v>10</v>
      </c>
      <c r="F519" s="314">
        <v>0</v>
      </c>
      <c r="O519" s="314" t="s">
        <v>324</v>
      </c>
    </row>
    <row r="520" spans="1:15" x14ac:dyDescent="0.35">
      <c r="A520" s="320">
        <v>45997</v>
      </c>
      <c r="B520" s="314" t="s">
        <v>185</v>
      </c>
      <c r="C520" s="314">
        <v>0</v>
      </c>
      <c r="D520" s="314">
        <v>10</v>
      </c>
      <c r="E520" s="314">
        <v>0</v>
      </c>
      <c r="F520" s="314">
        <v>0</v>
      </c>
      <c r="O520" s="314" t="s">
        <v>324</v>
      </c>
    </row>
    <row r="521" spans="1:15" x14ac:dyDescent="0.35">
      <c r="A521" s="320">
        <v>45997</v>
      </c>
      <c r="B521" s="314" t="s">
        <v>182</v>
      </c>
      <c r="C521" s="314">
        <v>0</v>
      </c>
      <c r="D521" s="314">
        <v>10</v>
      </c>
      <c r="E521" s="314">
        <v>0</v>
      </c>
      <c r="F521" s="314">
        <v>0</v>
      </c>
      <c r="O521" s="314" t="s">
        <v>333</v>
      </c>
    </row>
    <row r="522" spans="1:15" x14ac:dyDescent="0.35">
      <c r="A522" s="320">
        <v>45997</v>
      </c>
      <c r="B522" s="314" t="s">
        <v>188</v>
      </c>
      <c r="C522" s="314">
        <v>11</v>
      </c>
      <c r="D522" s="314">
        <v>0</v>
      </c>
      <c r="E522" s="314">
        <v>0</v>
      </c>
      <c r="F522" s="314">
        <v>0</v>
      </c>
    </row>
    <row r="523" spans="1:15" x14ac:dyDescent="0.35">
      <c r="A523" s="320">
        <v>45997</v>
      </c>
      <c r="B523" s="314" t="s">
        <v>191</v>
      </c>
      <c r="C523" s="314">
        <v>11</v>
      </c>
      <c r="D523" s="314">
        <v>0</v>
      </c>
      <c r="E523" s="314">
        <v>0</v>
      </c>
      <c r="F523" s="314">
        <v>0</v>
      </c>
    </row>
    <row r="524" spans="1:15" x14ac:dyDescent="0.35">
      <c r="A524" s="320">
        <v>45997</v>
      </c>
      <c r="B524" s="314" t="s">
        <v>274</v>
      </c>
      <c r="C524" s="314">
        <v>11</v>
      </c>
      <c r="D524" s="314">
        <v>0</v>
      </c>
      <c r="E524" s="314">
        <v>0</v>
      </c>
      <c r="F524" s="314">
        <v>0</v>
      </c>
    </row>
    <row r="525" spans="1:15" x14ac:dyDescent="0.35">
      <c r="A525" s="320">
        <v>45997</v>
      </c>
      <c r="B525" s="314" t="s">
        <v>284</v>
      </c>
      <c r="C525" s="314">
        <v>0</v>
      </c>
      <c r="D525" s="314">
        <v>0</v>
      </c>
      <c r="E525" s="314">
        <v>0</v>
      </c>
      <c r="F525" s="314">
        <v>1</v>
      </c>
    </row>
    <row r="526" spans="1:15" x14ac:dyDescent="0.35">
      <c r="A526" s="320">
        <v>45997</v>
      </c>
      <c r="B526" s="314" t="s">
        <v>285</v>
      </c>
      <c r="C526" s="314">
        <v>0</v>
      </c>
      <c r="D526" s="314">
        <v>0</v>
      </c>
      <c r="E526" s="314">
        <v>0</v>
      </c>
      <c r="F526" s="314">
        <v>1</v>
      </c>
    </row>
  </sheetData>
  <sheetProtection sheet="1" objects="1" scenarios="1"/>
  <dataValidations count="1">
    <dataValidation type="list" allowBlank="1" showInputMessage="1" showErrorMessage="1" sqref="G2:N21 F22:N32 G33:N52 G70:N1526" xr:uid="{00000000-0002-0000-0900-000000000000}">
      <formula1>"0,1"</formula1>
      <formula2>0</formula2>
    </dataValidation>
  </dataValidations>
  <printOptions horizontalCentered="1"/>
  <pageMargins left="0.75" right="0.75" top="1" bottom="1" header="0.511811023622047" footer="0.511811023622047"/>
  <pageSetup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24"/>
  <sheetViews>
    <sheetView zoomScaleNormal="100" workbookViewId="0">
      <selection activeCell="A2" sqref="A2"/>
    </sheetView>
  </sheetViews>
  <sheetFormatPr defaultColWidth="8.6328125" defaultRowHeight="14.5" x14ac:dyDescent="0.35"/>
  <cols>
    <col min="1" max="1" width="36" customWidth="1"/>
    <col min="2" max="6" width="16" customWidth="1"/>
    <col min="7" max="10" width="14" customWidth="1"/>
    <col min="11" max="11" width="18" customWidth="1"/>
    <col min="12" max="12" width="14" customWidth="1"/>
    <col min="13" max="13" width="16" customWidth="1"/>
    <col min="14" max="14" width="8" customWidth="1"/>
  </cols>
  <sheetData>
    <row r="1" spans="1:14" x14ac:dyDescent="0.35">
      <c r="A1" s="312" t="s">
        <v>246</v>
      </c>
      <c r="B1" s="312" t="s">
        <v>334</v>
      </c>
      <c r="C1" s="322" t="s">
        <v>335</v>
      </c>
      <c r="D1" s="312" t="s">
        <v>336</v>
      </c>
      <c r="E1" s="312" t="s">
        <v>337</v>
      </c>
      <c r="F1" s="312" t="s">
        <v>257</v>
      </c>
      <c r="G1" s="312" t="s">
        <v>258</v>
      </c>
      <c r="H1" s="312" t="s">
        <v>259</v>
      </c>
      <c r="I1" s="312" t="s">
        <v>260</v>
      </c>
      <c r="J1" s="312" t="s">
        <v>261</v>
      </c>
      <c r="K1" s="312" t="s">
        <v>338</v>
      </c>
      <c r="L1" s="312" t="s">
        <v>339</v>
      </c>
      <c r="M1" s="312" t="s">
        <v>340</v>
      </c>
      <c r="N1" s="312" t="s">
        <v>341</v>
      </c>
    </row>
    <row r="2" spans="1:14" x14ac:dyDescent="0.35">
      <c r="A2" t="s">
        <v>167</v>
      </c>
      <c r="B2" s="299">
        <v>139.15</v>
      </c>
      <c r="E2" s="299">
        <v>83.6</v>
      </c>
      <c r="F2" s="299">
        <v>22584.65</v>
      </c>
      <c r="G2" s="299">
        <v>6790.85</v>
      </c>
      <c r="H2" s="299">
        <v>6790.85</v>
      </c>
      <c r="I2" s="299">
        <v>48809.2</v>
      </c>
      <c r="J2" s="299">
        <v>48809.2</v>
      </c>
      <c r="K2" s="299"/>
      <c r="N2">
        <v>10</v>
      </c>
    </row>
    <row r="3" spans="1:14" x14ac:dyDescent="0.35">
      <c r="A3" t="s">
        <v>170</v>
      </c>
      <c r="B3" s="299">
        <v>168.3</v>
      </c>
      <c r="E3" s="299">
        <v>101.2</v>
      </c>
      <c r="F3" s="299">
        <v>26039.75</v>
      </c>
      <c r="G3" s="299">
        <v>8044.85</v>
      </c>
      <c r="H3" s="299">
        <v>8044.85</v>
      </c>
      <c r="I3" s="299">
        <v>52336.9</v>
      </c>
      <c r="J3" s="299">
        <v>52336.9</v>
      </c>
      <c r="K3" s="299"/>
      <c r="N3">
        <v>10</v>
      </c>
    </row>
    <row r="4" spans="1:14" x14ac:dyDescent="0.35">
      <c r="A4" t="s">
        <v>173</v>
      </c>
      <c r="B4" s="299">
        <v>255.75</v>
      </c>
      <c r="E4" s="299">
        <v>153.44999999999999</v>
      </c>
      <c r="F4" s="299">
        <v>8505.75</v>
      </c>
      <c r="G4" s="299">
        <v>13294.6</v>
      </c>
      <c r="H4" s="299">
        <v>13294.6</v>
      </c>
      <c r="I4" s="299">
        <v>39006.550000000003</v>
      </c>
      <c r="J4" s="299">
        <v>39006.550000000003</v>
      </c>
      <c r="K4" s="299"/>
      <c r="N4">
        <v>10</v>
      </c>
    </row>
    <row r="5" spans="1:14" x14ac:dyDescent="0.35">
      <c r="A5" t="s">
        <v>271</v>
      </c>
      <c r="B5" s="299">
        <v>179.3</v>
      </c>
      <c r="E5" s="299">
        <v>107.8</v>
      </c>
      <c r="F5" s="299">
        <v>8505.75</v>
      </c>
      <c r="G5" s="299">
        <v>10552.3</v>
      </c>
      <c r="H5" s="299">
        <v>10552.3</v>
      </c>
      <c r="I5" s="299">
        <v>25306.05</v>
      </c>
      <c r="J5" s="299">
        <v>25306.05</v>
      </c>
      <c r="K5" s="299"/>
      <c r="N5">
        <v>10</v>
      </c>
    </row>
    <row r="6" spans="1:14" x14ac:dyDescent="0.35">
      <c r="A6" t="s">
        <v>273</v>
      </c>
      <c r="B6" s="299">
        <v>179.3</v>
      </c>
      <c r="E6" s="299">
        <v>107.8</v>
      </c>
      <c r="F6" s="299">
        <v>8505.75</v>
      </c>
      <c r="G6" s="299">
        <v>10552.3</v>
      </c>
      <c r="H6" s="299">
        <v>10552.3</v>
      </c>
      <c r="I6" s="299">
        <v>25306.05</v>
      </c>
      <c r="J6" s="299">
        <v>25306.05</v>
      </c>
      <c r="K6" s="299"/>
      <c r="N6">
        <v>10</v>
      </c>
    </row>
    <row r="7" spans="1:14" x14ac:dyDescent="0.35">
      <c r="A7" t="s">
        <v>182</v>
      </c>
      <c r="B7" s="299">
        <v>173.8</v>
      </c>
      <c r="E7" s="299">
        <v>104.5</v>
      </c>
      <c r="F7" s="299">
        <v>13297.9</v>
      </c>
      <c r="G7" s="299">
        <v>6386.05</v>
      </c>
      <c r="H7" s="299">
        <v>6386.05</v>
      </c>
      <c r="I7" s="299">
        <v>22669.35</v>
      </c>
      <c r="J7" s="299">
        <v>22669.35</v>
      </c>
      <c r="K7" s="299"/>
      <c r="N7">
        <v>10</v>
      </c>
    </row>
    <row r="8" spans="1:14" x14ac:dyDescent="0.35">
      <c r="A8" t="s">
        <v>185</v>
      </c>
      <c r="B8" s="299">
        <v>112.75</v>
      </c>
      <c r="E8" s="299">
        <v>67.650000000000006</v>
      </c>
      <c r="F8" s="299">
        <v>5988.95</v>
      </c>
      <c r="G8" s="299">
        <v>4819.1000000000004</v>
      </c>
      <c r="H8" s="299">
        <v>4819.1000000000004</v>
      </c>
      <c r="I8" s="299">
        <v>21885.599999999999</v>
      </c>
      <c r="J8" s="299">
        <v>21885.599999999999</v>
      </c>
      <c r="K8" s="299"/>
      <c r="L8" s="299">
        <v>0</v>
      </c>
      <c r="M8" s="299">
        <v>0</v>
      </c>
      <c r="N8">
        <v>10</v>
      </c>
    </row>
    <row r="9" spans="1:14" x14ac:dyDescent="0.35">
      <c r="A9" t="s">
        <v>188</v>
      </c>
      <c r="B9" s="299">
        <v>29.15</v>
      </c>
      <c r="E9" s="299">
        <v>17.600000000000001</v>
      </c>
      <c r="F9" s="299">
        <v>4601.3</v>
      </c>
      <c r="G9" s="299">
        <v>1684.65</v>
      </c>
      <c r="H9" s="299">
        <v>1684.65</v>
      </c>
      <c r="I9" s="299">
        <v>5223.25</v>
      </c>
      <c r="J9" s="299">
        <v>5223.25</v>
      </c>
      <c r="K9" s="299"/>
      <c r="L9" s="299">
        <v>0</v>
      </c>
      <c r="M9" s="299">
        <v>0</v>
      </c>
      <c r="N9">
        <v>10</v>
      </c>
    </row>
    <row r="10" spans="1:14" x14ac:dyDescent="0.35">
      <c r="A10" t="s">
        <v>191</v>
      </c>
      <c r="B10" s="299">
        <v>29.15</v>
      </c>
      <c r="E10" s="299">
        <v>17.600000000000001</v>
      </c>
      <c r="F10" s="299">
        <v>4601.3</v>
      </c>
      <c r="G10" s="299">
        <v>1684.65</v>
      </c>
      <c r="H10" s="299">
        <v>1684.65</v>
      </c>
      <c r="I10" s="299">
        <v>5223.25</v>
      </c>
      <c r="J10" s="299">
        <v>5223.25</v>
      </c>
      <c r="K10" s="299"/>
      <c r="L10" s="299">
        <v>0</v>
      </c>
      <c r="M10" s="299">
        <v>0</v>
      </c>
      <c r="N10">
        <v>10</v>
      </c>
    </row>
    <row r="11" spans="1:14" x14ac:dyDescent="0.35">
      <c r="A11" t="s">
        <v>274</v>
      </c>
      <c r="B11" s="299">
        <v>29.15</v>
      </c>
      <c r="E11" s="299">
        <v>17.600000000000001</v>
      </c>
      <c r="F11" s="299">
        <v>4601.3</v>
      </c>
      <c r="G11" s="299">
        <v>1684.65</v>
      </c>
      <c r="N11">
        <v>10</v>
      </c>
    </row>
    <row r="12" spans="1:14" x14ac:dyDescent="0.35">
      <c r="A12" t="s">
        <v>275</v>
      </c>
      <c r="B12" s="299">
        <v>29.15</v>
      </c>
      <c r="E12" s="299">
        <v>17.600000000000001</v>
      </c>
      <c r="N12">
        <v>10</v>
      </c>
    </row>
    <row r="13" spans="1:14" x14ac:dyDescent="0.35">
      <c r="A13" t="s">
        <v>276</v>
      </c>
      <c r="D13" s="299">
        <v>115.5</v>
      </c>
      <c r="E13" s="299">
        <v>115.5</v>
      </c>
      <c r="K13" s="299">
        <v>1750.65</v>
      </c>
      <c r="L13" s="299">
        <v>575.29999999999995</v>
      </c>
      <c r="M13" s="299">
        <v>345.4</v>
      </c>
      <c r="N13">
        <v>10</v>
      </c>
    </row>
    <row r="14" spans="1:14" x14ac:dyDescent="0.35">
      <c r="A14" t="s">
        <v>277</v>
      </c>
      <c r="D14" s="299">
        <v>115.5</v>
      </c>
      <c r="E14" s="299">
        <v>115.5</v>
      </c>
      <c r="K14" s="299">
        <v>1750.65</v>
      </c>
      <c r="L14" s="299">
        <v>575.29999999999995</v>
      </c>
      <c r="M14" s="299">
        <v>345.4</v>
      </c>
      <c r="N14">
        <v>10</v>
      </c>
    </row>
    <row r="15" spans="1:14" x14ac:dyDescent="0.35">
      <c r="A15" t="s">
        <v>278</v>
      </c>
      <c r="D15" s="299">
        <v>115.5</v>
      </c>
      <c r="E15" s="299">
        <v>115.5</v>
      </c>
      <c r="K15" s="299">
        <v>1750.65</v>
      </c>
      <c r="L15" s="299">
        <v>575.29999999999995</v>
      </c>
      <c r="M15" s="299">
        <v>345.4</v>
      </c>
      <c r="N15">
        <v>10</v>
      </c>
    </row>
    <row r="16" spans="1:14" x14ac:dyDescent="0.35">
      <c r="A16" t="s">
        <v>279</v>
      </c>
      <c r="D16" s="299">
        <v>115.5</v>
      </c>
      <c r="E16" s="299">
        <v>115.5</v>
      </c>
      <c r="K16" s="299">
        <v>1750.65</v>
      </c>
      <c r="L16" s="299">
        <v>575.29999999999995</v>
      </c>
      <c r="M16" s="299">
        <v>345.4</v>
      </c>
      <c r="N16">
        <v>10</v>
      </c>
    </row>
    <row r="17" spans="1:14" x14ac:dyDescent="0.35">
      <c r="A17" t="s">
        <v>280</v>
      </c>
      <c r="D17" s="299">
        <v>115.5</v>
      </c>
      <c r="E17" s="299">
        <v>115.5</v>
      </c>
      <c r="K17" s="299">
        <v>1750.65</v>
      </c>
      <c r="L17" s="299">
        <v>575.29999999999995</v>
      </c>
      <c r="M17" s="299">
        <v>345.4</v>
      </c>
      <c r="N17">
        <v>10</v>
      </c>
    </row>
    <row r="18" spans="1:14" x14ac:dyDescent="0.35">
      <c r="A18" t="s">
        <v>281</v>
      </c>
      <c r="D18" s="299">
        <v>115.5</v>
      </c>
      <c r="E18" s="299">
        <v>115.5</v>
      </c>
      <c r="K18" s="299">
        <v>1750.65</v>
      </c>
      <c r="L18" s="299">
        <v>575.29999999999995</v>
      </c>
      <c r="M18" s="299">
        <v>345.4</v>
      </c>
      <c r="N18">
        <v>10</v>
      </c>
    </row>
    <row r="19" spans="1:14" x14ac:dyDescent="0.35">
      <c r="A19" t="s">
        <v>282</v>
      </c>
      <c r="D19" s="299">
        <v>115.5</v>
      </c>
      <c r="E19">
        <v>0</v>
      </c>
      <c r="K19" s="299"/>
      <c r="L19" s="299"/>
      <c r="M19" s="299"/>
      <c r="N19">
        <v>10</v>
      </c>
    </row>
    <row r="20" spans="1:14" x14ac:dyDescent="0.35">
      <c r="A20" t="s">
        <v>283</v>
      </c>
      <c r="D20" s="299">
        <v>142</v>
      </c>
      <c r="E20" s="299">
        <v>142</v>
      </c>
      <c r="K20" s="299">
        <v>1750.65</v>
      </c>
      <c r="L20" s="299">
        <v>575.29999999999995</v>
      </c>
      <c r="M20" s="299">
        <v>345.4</v>
      </c>
      <c r="N20">
        <v>10</v>
      </c>
    </row>
    <row r="21" spans="1:14" x14ac:dyDescent="0.35">
      <c r="A21" s="313" t="s">
        <v>284</v>
      </c>
      <c r="C21" s="299">
        <v>312.39999999999998</v>
      </c>
      <c r="N21">
        <v>10</v>
      </c>
    </row>
    <row r="22" spans="1:14" x14ac:dyDescent="0.35">
      <c r="A22" s="313" t="s">
        <v>285</v>
      </c>
      <c r="C22" s="299">
        <v>187</v>
      </c>
      <c r="N22">
        <v>10</v>
      </c>
    </row>
    <row r="23" spans="1:14" x14ac:dyDescent="0.35">
      <c r="A23" s="313" t="str">
        <f>'Site Instructions &amp; Variations'!B2</f>
        <v>Wallaby Beach Accommodation</v>
      </c>
      <c r="C23" s="299">
        <f>'Site Instructions &amp; Variations'!D2</f>
        <v>2316.3503999999998</v>
      </c>
      <c r="N23">
        <v>10</v>
      </c>
    </row>
    <row r="24" spans="1:14" x14ac:dyDescent="0.35">
      <c r="A24" t="s">
        <v>288</v>
      </c>
      <c r="C24" s="299">
        <f>'Site Instructions &amp; Variations'!D3</f>
        <v>0</v>
      </c>
      <c r="N24">
        <v>10</v>
      </c>
    </row>
  </sheetData>
  <sheetProtection sheet="1" objects="1" scenarios="1"/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8"/>
  <sheetViews>
    <sheetView zoomScaleNormal="100" workbookViewId="0">
      <selection activeCell="D2" sqref="D2"/>
    </sheetView>
  </sheetViews>
  <sheetFormatPr defaultColWidth="8.6328125" defaultRowHeight="14.5" x14ac:dyDescent="0.35"/>
  <cols>
    <col min="1" max="1" width="11.1796875" style="323" customWidth="1"/>
    <col min="2" max="2" width="31.1796875" style="324" customWidth="1"/>
    <col min="3" max="3" width="26.7265625" customWidth="1"/>
    <col min="4" max="4" width="11.54296875" style="325" customWidth="1"/>
  </cols>
  <sheetData>
    <row r="1" spans="1:4" x14ac:dyDescent="0.35">
      <c r="A1" s="326" t="s">
        <v>38</v>
      </c>
      <c r="B1" s="327" t="s">
        <v>342</v>
      </c>
      <c r="C1" s="328" t="s">
        <v>225</v>
      </c>
      <c r="D1" s="329" t="s">
        <v>343</v>
      </c>
    </row>
    <row r="2" spans="1:4" x14ac:dyDescent="0.35">
      <c r="A2" s="330">
        <v>45991</v>
      </c>
      <c r="B2" s="331" t="s">
        <v>344</v>
      </c>
      <c r="C2" s="316" t="s">
        <v>344</v>
      </c>
      <c r="D2" s="332">
        <v>2316.3503999999998</v>
      </c>
    </row>
    <row r="3" spans="1:4" x14ac:dyDescent="0.35">
      <c r="A3" s="330"/>
      <c r="B3" s="333"/>
      <c r="C3" s="333"/>
      <c r="D3" s="332"/>
    </row>
    <row r="4" spans="1:4" x14ac:dyDescent="0.35">
      <c r="A4" s="330"/>
      <c r="B4" s="333"/>
      <c r="C4" s="334"/>
      <c r="D4" s="332"/>
    </row>
    <row r="5" spans="1:4" x14ac:dyDescent="0.35">
      <c r="A5" s="330"/>
      <c r="B5" s="333"/>
      <c r="C5" s="334"/>
      <c r="D5" s="332"/>
    </row>
    <row r="6" spans="1:4" x14ac:dyDescent="0.35">
      <c r="A6" s="330"/>
      <c r="B6" s="333"/>
      <c r="C6" s="334"/>
      <c r="D6" s="332"/>
    </row>
    <row r="7" spans="1:4" x14ac:dyDescent="0.35">
      <c r="A7" s="330"/>
      <c r="B7" s="333"/>
      <c r="C7" s="334"/>
      <c r="D7" s="332"/>
    </row>
    <row r="8" spans="1:4" x14ac:dyDescent="0.35">
      <c r="A8" s="330"/>
      <c r="B8" s="333"/>
      <c r="C8" s="334"/>
      <c r="D8" s="332"/>
    </row>
  </sheetData>
  <sheetProtection sheet="1" objects="1" scenarios="1"/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5"/>
  <sheetViews>
    <sheetView zoomScaleNormal="100" workbookViewId="0">
      <selection activeCell="A2" sqref="A2"/>
    </sheetView>
  </sheetViews>
  <sheetFormatPr defaultColWidth="8.6328125" defaultRowHeight="14.5" x14ac:dyDescent="0.35"/>
  <cols>
    <col min="1" max="1" width="30" customWidth="1"/>
    <col min="2" max="2" width="33.453125" customWidth="1"/>
  </cols>
  <sheetData>
    <row r="1" spans="1:2" x14ac:dyDescent="0.35">
      <c r="A1" t="s">
        <v>345</v>
      </c>
      <c r="B1" t="s">
        <v>346</v>
      </c>
    </row>
    <row r="2" spans="1:2" x14ac:dyDescent="0.35">
      <c r="A2" t="s">
        <v>347</v>
      </c>
      <c r="B2" t="s">
        <v>167</v>
      </c>
    </row>
    <row r="3" spans="1:2" x14ac:dyDescent="0.35">
      <c r="A3" t="s">
        <v>348</v>
      </c>
      <c r="B3" t="s">
        <v>170</v>
      </c>
    </row>
    <row r="4" spans="1:2" x14ac:dyDescent="0.35">
      <c r="A4" t="s">
        <v>138</v>
      </c>
      <c r="B4" t="s">
        <v>283</v>
      </c>
    </row>
    <row r="5" spans="1:2" x14ac:dyDescent="0.35">
      <c r="A5" t="s">
        <v>132</v>
      </c>
      <c r="B5" t="s">
        <v>278</v>
      </c>
    </row>
    <row r="6" spans="1:2" x14ac:dyDescent="0.35">
      <c r="A6" t="s">
        <v>349</v>
      </c>
      <c r="B6" t="s">
        <v>271</v>
      </c>
    </row>
    <row r="7" spans="1:2" x14ac:dyDescent="0.35">
      <c r="A7" t="s">
        <v>350</v>
      </c>
      <c r="B7" t="s">
        <v>277</v>
      </c>
    </row>
    <row r="8" spans="1:2" x14ac:dyDescent="0.35">
      <c r="A8" t="s">
        <v>351</v>
      </c>
      <c r="B8" t="s">
        <v>173</v>
      </c>
    </row>
    <row r="9" spans="1:2" x14ac:dyDescent="0.35">
      <c r="A9" t="s">
        <v>352</v>
      </c>
    </row>
    <row r="10" spans="1:2" x14ac:dyDescent="0.35">
      <c r="A10" t="s">
        <v>134</v>
      </c>
      <c r="B10" t="s">
        <v>280</v>
      </c>
    </row>
    <row r="11" spans="1:2" x14ac:dyDescent="0.35">
      <c r="A11" t="s">
        <v>353</v>
      </c>
      <c r="B11" t="s">
        <v>273</v>
      </c>
    </row>
    <row r="12" spans="1:2" x14ac:dyDescent="0.35">
      <c r="A12" t="s">
        <v>354</v>
      </c>
    </row>
    <row r="13" spans="1:2" x14ac:dyDescent="0.35">
      <c r="A13" t="s">
        <v>355</v>
      </c>
    </row>
    <row r="14" spans="1:2" x14ac:dyDescent="0.35">
      <c r="A14" t="s">
        <v>137</v>
      </c>
      <c r="B14" t="s">
        <v>279</v>
      </c>
    </row>
    <row r="15" spans="1:2" x14ac:dyDescent="0.35">
      <c r="A15" t="s">
        <v>356</v>
      </c>
    </row>
    <row r="16" spans="1:2" x14ac:dyDescent="0.35">
      <c r="A16" t="s">
        <v>357</v>
      </c>
    </row>
    <row r="17" spans="1:2" x14ac:dyDescent="0.35">
      <c r="A17" t="s">
        <v>182</v>
      </c>
      <c r="B17" t="s">
        <v>182</v>
      </c>
    </row>
    <row r="18" spans="1:2" x14ac:dyDescent="0.35">
      <c r="A18" t="s">
        <v>131</v>
      </c>
      <c r="B18" t="s">
        <v>276</v>
      </c>
    </row>
    <row r="19" spans="1:2" x14ac:dyDescent="0.35">
      <c r="A19" t="s">
        <v>135</v>
      </c>
      <c r="B19" t="s">
        <v>281</v>
      </c>
    </row>
    <row r="20" spans="1:2" x14ac:dyDescent="0.35">
      <c r="A20" t="s">
        <v>358</v>
      </c>
      <c r="B20" t="s">
        <v>185</v>
      </c>
    </row>
    <row r="21" spans="1:2" x14ac:dyDescent="0.35">
      <c r="A21" t="s">
        <v>188</v>
      </c>
      <c r="B21" t="s">
        <v>188</v>
      </c>
    </row>
    <row r="22" spans="1:2" x14ac:dyDescent="0.35">
      <c r="A22" t="s">
        <v>191</v>
      </c>
      <c r="B22" t="s">
        <v>191</v>
      </c>
    </row>
    <row r="23" spans="1:2" x14ac:dyDescent="0.35">
      <c r="A23" t="s">
        <v>274</v>
      </c>
      <c r="B23" t="s">
        <v>274</v>
      </c>
    </row>
    <row r="24" spans="1:2" x14ac:dyDescent="0.35">
      <c r="A24" t="s">
        <v>284</v>
      </c>
      <c r="B24" t="s">
        <v>284</v>
      </c>
    </row>
    <row r="25" spans="1:2" x14ac:dyDescent="0.35">
      <c r="A25" t="s">
        <v>285</v>
      </c>
      <c r="B25" t="s">
        <v>285</v>
      </c>
    </row>
  </sheetData>
  <sheetProtection sheet="1" objects="1" scenarios="1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</vt:i4>
      </vt:variant>
    </vt:vector>
  </HeadingPairs>
  <TitlesOfParts>
    <vt:vector size="15" baseType="lpstr">
      <vt:lpstr>Payment Claim</vt:lpstr>
      <vt:lpstr>Payment_Summary</vt:lpstr>
      <vt:lpstr>A.2.1_Mob&amp;Demob Personnel</vt:lpstr>
      <vt:lpstr>A.2.3 Labour Costs</vt:lpstr>
      <vt:lpstr>A.2.4_Mob&amp;Demob PE</vt:lpstr>
      <vt:lpstr>A.2.5 PE</vt:lpstr>
      <vt:lpstr>A.4_Purchase</vt:lpstr>
      <vt:lpstr>Monthly Claim (Client)</vt:lpstr>
      <vt:lpstr>Config</vt:lpstr>
      <vt:lpstr>Daily Log</vt:lpstr>
      <vt:lpstr>RE Rates</vt:lpstr>
      <vt:lpstr>Site Instructions &amp; Variations</vt:lpstr>
      <vt:lpstr>Operators</vt:lpstr>
      <vt:lpstr>'Payment Claim'!Print_Area</vt:lpstr>
      <vt:lpstr>Payment_Summary!Print_Area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P6South Monthly Claim</dc:title>
  <dc:subject/>
  <dc:creator>Warwick Mylchreest</dc:creator>
  <dc:description/>
  <cp:lastModifiedBy>IT Administrator</cp:lastModifiedBy>
  <cp:revision>0</cp:revision>
  <dcterms:created xsi:type="dcterms:W3CDTF">2025-09-17T02:40:22Z</dcterms:created>
  <dcterms:modified xsi:type="dcterms:W3CDTF">2026-02-02T07:09:29Z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0x010100C3E0BDC6B17E4F43A55E981D895AF674</vt:lpwstr>
  </property>
  <property fmtid="{D5CDD505-2E9C-101B-9397-08002B2CF9AE}" pid="3" name="MediaServiceImageTags">
    <vt:lpwstr/>
  </property>
</Properties>
</file>