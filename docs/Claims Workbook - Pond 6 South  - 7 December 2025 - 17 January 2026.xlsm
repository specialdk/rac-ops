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drawings/drawing55.xml" ContentType="application/vnd.openxmlformats-officedocument.drawing+xml"/>
  <Override PartName="/xl/ctrlProps/ctrlProp55.xml" ContentType="application/vnd.ms-excel.controlproperties+xml"/>
  <Override PartName="/xl/drawings/drawing56.xml" ContentType="application/vnd.openxmlformats-officedocument.drawing+xml"/>
  <Override PartName="/xl/ctrlProps/ctrlProp56.xml" ContentType="application/vnd.ms-excel.controlproperties+xml"/>
  <Override PartName="/xl/drawings/drawing57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ydac-my.sharepoint.com/personal/warwick_m_rirratjingu_com/Documents/Documents/Draft xlsm/Working file/"/>
    </mc:Choice>
  </mc:AlternateContent>
  <xr:revisionPtr revIDLastSave="7689" documentId="8_{B2E8482F-D399-41F5-A17F-1D071CF9D0AA}" xr6:coauthVersionLast="47" xr6:coauthVersionMax="47" xr10:uidLastSave="{A77F7298-89D2-4670-B08A-9806B55C624F}"/>
  <bookViews>
    <workbookView xWindow="-110" yWindow="-110" windowWidth="38620" windowHeight="21100" activeTab="6" xr2:uid="{00000000-000D-0000-FFFF-FFFF00000000}"/>
  </bookViews>
  <sheets>
    <sheet name="Config" sheetId="1" r:id="rId1"/>
    <sheet name="Daily Log" sheetId="2" r:id="rId2"/>
    <sheet name="RE Rates" sheetId="3" r:id="rId3"/>
    <sheet name="Sitzler Rates" sheetId="4" state="hidden" r:id="rId4"/>
    <sheet name="Monthly Claim (Client)" sheetId="5" r:id="rId5"/>
    <sheet name="Site Instructions &amp; Variations" sheetId="7" r:id="rId6"/>
    <sheet name="Operators" sheetId="9" r:id="rId7"/>
    <sheet name="1 Nov 25 " sheetId="8" r:id="rId8"/>
    <sheet name="2 Nov 25" sheetId="10" r:id="rId9"/>
    <sheet name="3 Nov 25 " sheetId="11" r:id="rId10"/>
    <sheet name="4 Nov 25 " sheetId="15" r:id="rId11"/>
    <sheet name="5 Nov 25 " sheetId="16" r:id="rId12"/>
    <sheet name="6 Nov 25 " sheetId="17" r:id="rId13"/>
    <sheet name="7 Nov 25  " sheetId="18" r:id="rId14"/>
    <sheet name="8 Nov 25  " sheetId="19" r:id="rId15"/>
    <sheet name="9 Nov 25  " sheetId="20" r:id="rId16"/>
    <sheet name="10 Nov 25   " sheetId="21" r:id="rId17"/>
    <sheet name="11 Nov 25  " sheetId="22" r:id="rId18"/>
    <sheet name="12 Nov 25 " sheetId="23" r:id="rId19"/>
    <sheet name="13 Nov 25  " sheetId="24" r:id="rId20"/>
    <sheet name="14 Nov 25  " sheetId="25" r:id="rId21"/>
    <sheet name="15 Nov 25  " sheetId="26" r:id="rId22"/>
    <sheet name="16 Nov 25   " sheetId="27" r:id="rId23"/>
    <sheet name="24 Nov 25  " sheetId="29" r:id="rId24"/>
    <sheet name="25 Nov 25" sheetId="30" r:id="rId25"/>
    <sheet name="26 Nov 25 " sheetId="31" r:id="rId26"/>
    <sheet name="27 Nov 25  " sheetId="32" r:id="rId27"/>
    <sheet name="28 Nov 25 " sheetId="33" r:id="rId28"/>
    <sheet name="29 Nov 25 " sheetId="34" r:id="rId29"/>
    <sheet name="30 Nov 25 " sheetId="35" r:id="rId30"/>
    <sheet name="1 Dec 25" sheetId="37" r:id="rId31"/>
    <sheet name="2 Dec 25" sheetId="39" r:id="rId32"/>
    <sheet name="3 Dec 25" sheetId="40" r:id="rId33"/>
    <sheet name="4 Dec 25" sheetId="41" r:id="rId34"/>
    <sheet name=" 6 Dec 25" sheetId="42" r:id="rId35"/>
    <sheet name="7 Dec 25" sheetId="43" r:id="rId36"/>
    <sheet name="8 Dec 25" sheetId="44" r:id="rId37"/>
    <sheet name="9 Dec 25 " sheetId="46" r:id="rId38"/>
    <sheet name="10 Dec 25  " sheetId="47" r:id="rId39"/>
    <sheet name="11 Dec 25   " sheetId="48" r:id="rId40"/>
    <sheet name="12 Dec 25" sheetId="49" r:id="rId41"/>
    <sheet name="13 Dec 25" sheetId="50" r:id="rId42"/>
    <sheet name="14 Dec 25" sheetId="51" r:id="rId43"/>
    <sheet name="5 Jan 26" sheetId="52" r:id="rId44"/>
    <sheet name="6 Jan 26" sheetId="53" r:id="rId45"/>
    <sheet name="7 Jan" sheetId="54" r:id="rId46"/>
    <sheet name="8 Jan" sheetId="55" r:id="rId47"/>
    <sheet name="9 Jan 26" sheetId="56" r:id="rId48"/>
    <sheet name="10 Jan 26" sheetId="57" r:id="rId49"/>
    <sheet name="11 Jan 26" sheetId="58" r:id="rId50"/>
    <sheet name="12 Jan 26" sheetId="59" r:id="rId51"/>
    <sheet name="13 Jan 26 " sheetId="60" r:id="rId52"/>
    <sheet name="14 Jan 26  " sheetId="61" r:id="rId53"/>
    <sheet name="15 Jan 26   " sheetId="62" r:id="rId54"/>
    <sheet name="16 Jan 26  " sheetId="63" r:id="rId55"/>
    <sheet name="17 Jan 26   " sheetId="64" r:id="rId56"/>
    <sheet name="18 Jan 26    " sheetId="65" r:id="rId57"/>
  </sheets>
  <functionGroups builtInGroupCount="19"/>
  <externalReferences>
    <externalReference r:id="rId58"/>
  </externalReferences>
  <definedNames>
    <definedName name="_xlnm._FilterDatabase" localSheetId="1" hidden="1">'Daily Log'!$A$1:$P$526</definedName>
    <definedName name="_xlnm.Print_Area" localSheetId="34">' 6 Dec 25'!$B$2:$L$42</definedName>
    <definedName name="_xlnm.Print_Area" localSheetId="30">'1 Dec 25'!$B$2:$L$42</definedName>
    <definedName name="_xlnm.Print_Area" localSheetId="7">'1 Nov 25 '!$B$2:$L$42</definedName>
    <definedName name="_xlnm.Print_Area" localSheetId="38">'10 Dec 25  '!$B$2:$L$42</definedName>
    <definedName name="_xlnm.Print_Area" localSheetId="48">'10 Jan 26'!$B$2:$L$42</definedName>
    <definedName name="_xlnm.Print_Area" localSheetId="16">'10 Nov 25   '!$B$2:$L$40</definedName>
    <definedName name="_xlnm.Print_Area" localSheetId="39">'11 Dec 25   '!$B$2:$L$42</definedName>
    <definedName name="_xlnm.Print_Area" localSheetId="49">'11 Jan 26'!$B$2:$L$42</definedName>
    <definedName name="_xlnm.Print_Area" localSheetId="17">'11 Nov 25  '!$B$2:$L$40</definedName>
    <definedName name="_xlnm.Print_Area" localSheetId="40">'12 Dec 25'!$B$2:$L$42</definedName>
    <definedName name="_xlnm.Print_Area" localSheetId="50">'12 Jan 26'!$B$2:$L$42</definedName>
    <definedName name="_xlnm.Print_Area" localSheetId="18">'12 Nov 25 '!$B$2:$L$40</definedName>
    <definedName name="_xlnm.Print_Area" localSheetId="41">'13 Dec 25'!$B$2:$L$42</definedName>
    <definedName name="_xlnm.Print_Area" localSheetId="51">'13 Jan 26 '!$B$2:$L$42</definedName>
    <definedName name="_xlnm.Print_Area" localSheetId="19">'13 Nov 25  '!$B$2:$L$42</definedName>
    <definedName name="_xlnm.Print_Area" localSheetId="42">'14 Dec 25'!$B$2:$L$42</definedName>
    <definedName name="_xlnm.Print_Area" localSheetId="52">'14 Jan 26  '!$B$2:$L$42</definedName>
    <definedName name="_xlnm.Print_Area" localSheetId="20">'14 Nov 25  '!$B$2:$L$42</definedName>
    <definedName name="_xlnm.Print_Area" localSheetId="53">'15 Jan 26   '!$B$2:$L$42</definedName>
    <definedName name="_xlnm.Print_Area" localSheetId="21">'15 Nov 25  '!$B$2:$L$42</definedName>
    <definedName name="_xlnm.Print_Area" localSheetId="54">'16 Jan 26  '!$B$2:$L$42</definedName>
    <definedName name="_xlnm.Print_Area" localSheetId="22">'16 Nov 25   '!$B$2:$L$42</definedName>
    <definedName name="_xlnm.Print_Area" localSheetId="55">'17 Jan 26   '!$B$2:$L$42</definedName>
    <definedName name="_xlnm.Print_Area" localSheetId="56">'18 Jan 26    '!$B$2:$L$42</definedName>
    <definedName name="_xlnm.Print_Area" localSheetId="31">'2 Dec 25'!$B$2:$L$42</definedName>
    <definedName name="_xlnm.Print_Area" localSheetId="8">'2 Nov 25'!$B$2:$L$42</definedName>
    <definedName name="_xlnm.Print_Area" localSheetId="23">'24 Nov 25  '!$B$2:$L$42</definedName>
    <definedName name="_xlnm.Print_Area" localSheetId="24">'25 Nov 25'!$B$2:$L$42</definedName>
    <definedName name="_xlnm.Print_Area" localSheetId="25">'26 Nov 25 '!$B$2:$L$42</definedName>
    <definedName name="_xlnm.Print_Area" localSheetId="26">'27 Nov 25  '!$B$2:$L$42</definedName>
    <definedName name="_xlnm.Print_Area" localSheetId="27">'28 Nov 25 '!$B$2:$L$42</definedName>
    <definedName name="_xlnm.Print_Area" localSheetId="28">'29 Nov 25 '!$B$2:$L$42</definedName>
    <definedName name="_xlnm.Print_Area" localSheetId="32">'3 Dec 25'!$B$2:$L$42</definedName>
    <definedName name="_xlnm.Print_Area" localSheetId="9">'3 Nov 25 '!$B$2:$L$45</definedName>
    <definedName name="_xlnm.Print_Area" localSheetId="29">'30 Nov 25 '!$B$2:$L$42</definedName>
    <definedName name="_xlnm.Print_Area" localSheetId="33">'4 Dec 25'!$B$2:$L$42</definedName>
    <definedName name="_xlnm.Print_Area" localSheetId="10">'4 Nov 25 '!$B$2:$L$40</definedName>
    <definedName name="_xlnm.Print_Area" localSheetId="43">'5 Jan 26'!$B$2:$L$42</definedName>
    <definedName name="_xlnm.Print_Area" localSheetId="11">'5 Nov 25 '!$B$2:$L$40</definedName>
    <definedName name="_xlnm.Print_Area" localSheetId="44">'6 Jan 26'!$B$2:$L$42</definedName>
    <definedName name="_xlnm.Print_Area" localSheetId="12">'6 Nov 25 '!$B$2:$L$40</definedName>
    <definedName name="_xlnm.Print_Area" localSheetId="35">'7 Dec 25'!$B$2:$L$42</definedName>
    <definedName name="_xlnm.Print_Area" localSheetId="45">'7 Jan'!$B$2:$L$42</definedName>
    <definedName name="_xlnm.Print_Area" localSheetId="13">'7 Nov 25  '!$B$2:$L$40</definedName>
    <definedName name="_xlnm.Print_Area" localSheetId="36">'8 Dec 25'!$B$2:$L$42</definedName>
    <definedName name="_xlnm.Print_Area" localSheetId="46">'8 Jan'!$B$2:$L$42</definedName>
    <definedName name="_xlnm.Print_Area" localSheetId="14">'8 Nov 25  '!$B$2:$L$40</definedName>
    <definedName name="_xlnm.Print_Area" localSheetId="37">'9 Dec 25 '!$B$2:$L$42</definedName>
    <definedName name="_xlnm.Print_Area" localSheetId="47">'9 Jan 26'!$B$2:$L$42</definedName>
    <definedName name="_xlnm.Print_Area" localSheetId="15">'9 Nov 25  '!$B$2:$L$40</definedName>
    <definedName name="Z_EE6DF330_25EF_42A5_9A3D_F9F271351458_.wvu.PrintArea" localSheetId="34" hidden="1">' 6 Dec 25'!$A$1:$M$43</definedName>
    <definedName name="Z_EE6DF330_25EF_42A5_9A3D_F9F271351458_.wvu.PrintArea" localSheetId="30" hidden="1">'1 Dec 25'!$A$1:$M$43</definedName>
    <definedName name="Z_EE6DF330_25EF_42A5_9A3D_F9F271351458_.wvu.PrintArea" localSheetId="7" hidden="1">'1 Nov 25 '!$A$1:$M$43</definedName>
    <definedName name="Z_EE6DF330_25EF_42A5_9A3D_F9F271351458_.wvu.PrintArea" localSheetId="38" hidden="1">'10 Dec 25  '!$A$1:$M$43</definedName>
    <definedName name="Z_EE6DF330_25EF_42A5_9A3D_F9F271351458_.wvu.PrintArea" localSheetId="48" hidden="1">'10 Jan 26'!$A$1:$M$43</definedName>
    <definedName name="Z_EE6DF330_25EF_42A5_9A3D_F9F271351458_.wvu.PrintArea" localSheetId="16" hidden="1">'10 Nov 25   '!$A$1:$M$41</definedName>
    <definedName name="Z_EE6DF330_25EF_42A5_9A3D_F9F271351458_.wvu.PrintArea" localSheetId="39" hidden="1">'11 Dec 25   '!$A$1:$M$43</definedName>
    <definedName name="Z_EE6DF330_25EF_42A5_9A3D_F9F271351458_.wvu.PrintArea" localSheetId="49" hidden="1">'11 Jan 26'!$A$1:$M$43</definedName>
    <definedName name="Z_EE6DF330_25EF_42A5_9A3D_F9F271351458_.wvu.PrintArea" localSheetId="17" hidden="1">'11 Nov 25  '!$A$1:$M$41</definedName>
    <definedName name="Z_EE6DF330_25EF_42A5_9A3D_F9F271351458_.wvu.PrintArea" localSheetId="40" hidden="1">'12 Dec 25'!$A$1:$M$43</definedName>
    <definedName name="Z_EE6DF330_25EF_42A5_9A3D_F9F271351458_.wvu.PrintArea" localSheetId="50" hidden="1">'12 Jan 26'!$A$1:$M$43</definedName>
    <definedName name="Z_EE6DF330_25EF_42A5_9A3D_F9F271351458_.wvu.PrintArea" localSheetId="18" hidden="1">'12 Nov 25 '!$A$1:$M$41</definedName>
    <definedName name="Z_EE6DF330_25EF_42A5_9A3D_F9F271351458_.wvu.PrintArea" localSheetId="41" hidden="1">'13 Dec 25'!$A$1:$M$43</definedName>
    <definedName name="Z_EE6DF330_25EF_42A5_9A3D_F9F271351458_.wvu.PrintArea" localSheetId="51" hidden="1">'13 Jan 26 '!$A$1:$M$43</definedName>
    <definedName name="Z_EE6DF330_25EF_42A5_9A3D_F9F271351458_.wvu.PrintArea" localSheetId="19" hidden="1">'13 Nov 25  '!$A$1:$M$43</definedName>
    <definedName name="Z_EE6DF330_25EF_42A5_9A3D_F9F271351458_.wvu.PrintArea" localSheetId="42" hidden="1">'14 Dec 25'!$A$1:$M$43</definedName>
    <definedName name="Z_EE6DF330_25EF_42A5_9A3D_F9F271351458_.wvu.PrintArea" localSheetId="52" hidden="1">'14 Jan 26  '!$A$1:$M$43</definedName>
    <definedName name="Z_EE6DF330_25EF_42A5_9A3D_F9F271351458_.wvu.PrintArea" localSheetId="20" hidden="1">'14 Nov 25  '!$A$1:$M$43</definedName>
    <definedName name="Z_EE6DF330_25EF_42A5_9A3D_F9F271351458_.wvu.PrintArea" localSheetId="53" hidden="1">'15 Jan 26   '!$A$1:$M$43</definedName>
    <definedName name="Z_EE6DF330_25EF_42A5_9A3D_F9F271351458_.wvu.PrintArea" localSheetId="21" hidden="1">'15 Nov 25  '!$A$1:$M$43</definedName>
    <definedName name="Z_EE6DF330_25EF_42A5_9A3D_F9F271351458_.wvu.PrintArea" localSheetId="54" hidden="1">'16 Jan 26  '!$A$1:$M$43</definedName>
    <definedName name="Z_EE6DF330_25EF_42A5_9A3D_F9F271351458_.wvu.PrintArea" localSheetId="22" hidden="1">'16 Nov 25   '!$A$1:$M$43</definedName>
    <definedName name="Z_EE6DF330_25EF_42A5_9A3D_F9F271351458_.wvu.PrintArea" localSheetId="55" hidden="1">'17 Jan 26   '!$A$1:$M$43</definedName>
    <definedName name="Z_EE6DF330_25EF_42A5_9A3D_F9F271351458_.wvu.PrintArea" localSheetId="56" hidden="1">'18 Jan 26    '!$A$1:$M$43</definedName>
    <definedName name="Z_EE6DF330_25EF_42A5_9A3D_F9F271351458_.wvu.PrintArea" localSheetId="31" hidden="1">'2 Dec 25'!$A$1:$M$43</definedName>
    <definedName name="Z_EE6DF330_25EF_42A5_9A3D_F9F271351458_.wvu.PrintArea" localSheetId="8" hidden="1">'2 Nov 25'!$A$1:$M$43</definedName>
    <definedName name="Z_EE6DF330_25EF_42A5_9A3D_F9F271351458_.wvu.PrintArea" localSheetId="23" hidden="1">'24 Nov 25  '!$A$1:$M$43</definedName>
    <definedName name="Z_EE6DF330_25EF_42A5_9A3D_F9F271351458_.wvu.PrintArea" localSheetId="24" hidden="1">'25 Nov 25'!$A$1:$M$43</definedName>
    <definedName name="Z_EE6DF330_25EF_42A5_9A3D_F9F271351458_.wvu.PrintArea" localSheetId="25" hidden="1">'26 Nov 25 '!$A$1:$M$43</definedName>
    <definedName name="Z_EE6DF330_25EF_42A5_9A3D_F9F271351458_.wvu.PrintArea" localSheetId="26" hidden="1">'27 Nov 25  '!$A$1:$M$43</definedName>
    <definedName name="Z_EE6DF330_25EF_42A5_9A3D_F9F271351458_.wvu.PrintArea" localSheetId="27" hidden="1">'28 Nov 25 '!$A$1:$M$43</definedName>
    <definedName name="Z_EE6DF330_25EF_42A5_9A3D_F9F271351458_.wvu.PrintArea" localSheetId="28" hidden="1">'29 Nov 25 '!$A$1:$M$43</definedName>
    <definedName name="Z_EE6DF330_25EF_42A5_9A3D_F9F271351458_.wvu.PrintArea" localSheetId="32" hidden="1">'3 Dec 25'!$A$1:$M$43</definedName>
    <definedName name="Z_EE6DF330_25EF_42A5_9A3D_F9F271351458_.wvu.PrintArea" localSheetId="9" hidden="1">'3 Nov 25 '!$A$1:$M$46</definedName>
    <definedName name="Z_EE6DF330_25EF_42A5_9A3D_F9F271351458_.wvu.PrintArea" localSheetId="29" hidden="1">'30 Nov 25 '!$A$1:$M$43</definedName>
    <definedName name="Z_EE6DF330_25EF_42A5_9A3D_F9F271351458_.wvu.PrintArea" localSheetId="33" hidden="1">'4 Dec 25'!$A$1:$M$43</definedName>
    <definedName name="Z_EE6DF330_25EF_42A5_9A3D_F9F271351458_.wvu.PrintArea" localSheetId="10" hidden="1">'4 Nov 25 '!$A$1:$M$41</definedName>
    <definedName name="Z_EE6DF330_25EF_42A5_9A3D_F9F271351458_.wvu.PrintArea" localSheetId="43" hidden="1">'5 Jan 26'!$A$1:$M$43</definedName>
    <definedName name="Z_EE6DF330_25EF_42A5_9A3D_F9F271351458_.wvu.PrintArea" localSheetId="11" hidden="1">'5 Nov 25 '!$A$1:$M$41</definedName>
    <definedName name="Z_EE6DF330_25EF_42A5_9A3D_F9F271351458_.wvu.PrintArea" localSheetId="44" hidden="1">'6 Jan 26'!$A$1:$M$43</definedName>
    <definedName name="Z_EE6DF330_25EF_42A5_9A3D_F9F271351458_.wvu.PrintArea" localSheetId="12" hidden="1">'6 Nov 25 '!$A$1:$M$41</definedName>
    <definedName name="Z_EE6DF330_25EF_42A5_9A3D_F9F271351458_.wvu.PrintArea" localSheetId="35" hidden="1">'7 Dec 25'!$A$1:$M$43</definedName>
    <definedName name="Z_EE6DF330_25EF_42A5_9A3D_F9F271351458_.wvu.PrintArea" localSheetId="45" hidden="1">'7 Jan'!$A$1:$M$43</definedName>
    <definedName name="Z_EE6DF330_25EF_42A5_9A3D_F9F271351458_.wvu.PrintArea" localSheetId="13" hidden="1">'7 Nov 25  '!$A$1:$M$41</definedName>
    <definedName name="Z_EE6DF330_25EF_42A5_9A3D_F9F271351458_.wvu.PrintArea" localSheetId="36" hidden="1">'8 Dec 25'!$A$1:$M$43</definedName>
    <definedName name="Z_EE6DF330_25EF_42A5_9A3D_F9F271351458_.wvu.PrintArea" localSheetId="46" hidden="1">'8 Jan'!$A$1:$M$43</definedName>
    <definedName name="Z_EE6DF330_25EF_42A5_9A3D_F9F271351458_.wvu.PrintArea" localSheetId="14" hidden="1">'8 Nov 25  '!$A$1:$M$41</definedName>
    <definedName name="Z_EE6DF330_25EF_42A5_9A3D_F9F271351458_.wvu.PrintArea" localSheetId="37" hidden="1">'9 Dec 25 '!$A$1:$M$43</definedName>
    <definedName name="Z_EE6DF330_25EF_42A5_9A3D_F9F271351458_.wvu.PrintArea" localSheetId="47" hidden="1">'9 Jan 26'!$A$1:$M$43</definedName>
    <definedName name="Z_EE6DF330_25EF_42A5_9A3D_F9F271351458_.wvu.PrintArea" localSheetId="15" hidden="1">'9 Nov 25  '!$A$1:$M$41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65" l="1"/>
  <c r="F27" i="65" s="1"/>
  <c r="E26" i="65"/>
  <c r="F26" i="65" s="1"/>
  <c r="E25" i="65"/>
  <c r="F25" i="65" s="1"/>
  <c r="E24" i="65"/>
  <c r="F24" i="65" s="1"/>
  <c r="E23" i="65"/>
  <c r="F23" i="65" s="1"/>
  <c r="E22" i="65"/>
  <c r="F22" i="65" s="1"/>
  <c r="E21" i="65"/>
  <c r="E27" i="64"/>
  <c r="F27" i="64" s="1"/>
  <c r="E26" i="64"/>
  <c r="F26" i="64" s="1"/>
  <c r="E25" i="64"/>
  <c r="F25" i="64" s="1"/>
  <c r="E24" i="64"/>
  <c r="F24" i="64" s="1"/>
  <c r="E23" i="64"/>
  <c r="F23" i="64" s="1"/>
  <c r="E22" i="64"/>
  <c r="F22" i="64" s="1"/>
  <c r="E21" i="64"/>
  <c r="E27" i="63"/>
  <c r="F27" i="63" s="1"/>
  <c r="E26" i="63"/>
  <c r="F26" i="63" s="1"/>
  <c r="E25" i="63"/>
  <c r="F25" i="63" s="1"/>
  <c r="E24" i="63"/>
  <c r="F24" i="63" s="1"/>
  <c r="E23" i="63"/>
  <c r="F23" i="63" s="1"/>
  <c r="E22" i="63"/>
  <c r="F22" i="63" s="1"/>
  <c r="E21" i="63"/>
  <c r="F21" i="63" s="1"/>
  <c r="E27" i="62"/>
  <c r="F27" i="62" s="1"/>
  <c r="E26" i="62"/>
  <c r="F26" i="62" s="1"/>
  <c r="E25" i="62"/>
  <c r="F25" i="62" s="1"/>
  <c r="E24" i="62"/>
  <c r="F23" i="62"/>
  <c r="E23" i="62"/>
  <c r="E22" i="62"/>
  <c r="F22" i="62" s="1"/>
  <c r="E21" i="62"/>
  <c r="F21" i="62" s="1"/>
  <c r="E27" i="61"/>
  <c r="F27" i="61" s="1"/>
  <c r="E26" i="61"/>
  <c r="F26" i="61" s="1"/>
  <c r="E25" i="61"/>
  <c r="F25" i="61" s="1"/>
  <c r="E24" i="61"/>
  <c r="F23" i="61"/>
  <c r="E23" i="61"/>
  <c r="E22" i="61"/>
  <c r="F22" i="61" s="1"/>
  <c r="E21" i="61"/>
  <c r="G21" i="61" s="1"/>
  <c r="E27" i="60"/>
  <c r="F27" i="60" s="1"/>
  <c r="F26" i="60"/>
  <c r="E26" i="60"/>
  <c r="E25" i="60"/>
  <c r="F25" i="60" s="1"/>
  <c r="E24" i="60"/>
  <c r="E23" i="60"/>
  <c r="F23" i="60" s="1"/>
  <c r="F22" i="60"/>
  <c r="E22" i="60"/>
  <c r="E21" i="60"/>
  <c r="F21" i="60" s="1"/>
  <c r="E27" i="50"/>
  <c r="E23" i="50"/>
  <c r="E27" i="49"/>
  <c r="E23" i="49"/>
  <c r="E27" i="48"/>
  <c r="E23" i="48"/>
  <c r="E27" i="47"/>
  <c r="E23" i="47"/>
  <c r="E21" i="47"/>
  <c r="E27" i="46"/>
  <c r="E23" i="46"/>
  <c r="E22" i="46"/>
  <c r="E21" i="46"/>
  <c r="E27" i="44"/>
  <c r="E23" i="44"/>
  <c r="E22" i="44"/>
  <c r="E21" i="44"/>
  <c r="E21" i="43"/>
  <c r="F21" i="43"/>
  <c r="E22" i="43"/>
  <c r="E23" i="43"/>
  <c r="E27" i="43"/>
  <c r="F22" i="39" l="1"/>
  <c r="F23" i="39"/>
  <c r="F26" i="39"/>
  <c r="F27" i="39"/>
  <c r="F21" i="39"/>
  <c r="F27" i="5"/>
  <c r="F26" i="5"/>
  <c r="B11" i="5"/>
  <c r="B10" i="5"/>
  <c r="B9" i="5"/>
  <c r="B8" i="5"/>
  <c r="B7" i="5"/>
  <c r="E27" i="42" l="1"/>
  <c r="F27" i="42" s="1"/>
  <c r="E26" i="42"/>
  <c r="E25" i="42"/>
  <c r="E24" i="42"/>
  <c r="E23" i="42"/>
  <c r="F23" i="42" s="1"/>
  <c r="E22" i="42"/>
  <c r="F22" i="42" s="1"/>
  <c r="E21" i="42"/>
  <c r="F21" i="42" s="1"/>
  <c r="E27" i="41"/>
  <c r="F27" i="41" s="1"/>
  <c r="E26" i="41"/>
  <c r="F26" i="41" s="1"/>
  <c r="E25" i="41"/>
  <c r="E24" i="41"/>
  <c r="E23" i="41"/>
  <c r="F23" i="41" s="1"/>
  <c r="E22" i="41"/>
  <c r="F22" i="41" s="1"/>
  <c r="E21" i="41"/>
  <c r="F21" i="41" s="1"/>
  <c r="F22" i="40"/>
  <c r="F23" i="40"/>
  <c r="F26" i="40"/>
  <c r="F27" i="40"/>
  <c r="F21" i="40"/>
  <c r="E27" i="40"/>
  <c r="E26" i="40"/>
  <c r="E25" i="40"/>
  <c r="E24" i="40"/>
  <c r="E23" i="40"/>
  <c r="E22" i="40"/>
  <c r="E21" i="40"/>
  <c r="E27" i="39"/>
  <c r="E26" i="39"/>
  <c r="E25" i="39"/>
  <c r="E24" i="39"/>
  <c r="E23" i="39"/>
  <c r="E22" i="39"/>
  <c r="E21" i="39"/>
  <c r="F27" i="37"/>
  <c r="E27" i="37"/>
  <c r="E26" i="37"/>
  <c r="F26" i="37" s="1"/>
  <c r="G25" i="37"/>
  <c r="E25" i="37"/>
  <c r="E24" i="37"/>
  <c r="E23" i="37"/>
  <c r="F23" i="37" s="1"/>
  <c r="E22" i="37"/>
  <c r="F22" i="37" s="1"/>
  <c r="E21" i="37"/>
  <c r="F21" i="37" s="1"/>
  <c r="R8" i="5" l="1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E14" i="5"/>
  <c r="E15" i="5"/>
  <c r="E27" i="35" l="1"/>
  <c r="E26" i="35"/>
  <c r="F26" i="35" s="1"/>
  <c r="G25" i="35"/>
  <c r="E25" i="35"/>
  <c r="E24" i="35"/>
  <c r="E23" i="35"/>
  <c r="F23" i="35" s="1"/>
  <c r="E22" i="35"/>
  <c r="F22" i="35" s="1"/>
  <c r="E21" i="35"/>
  <c r="F21" i="35" s="1"/>
  <c r="G25" i="34"/>
  <c r="E27" i="34"/>
  <c r="F27" i="34" s="1"/>
  <c r="E26" i="34"/>
  <c r="F26" i="34" s="1"/>
  <c r="E25" i="34"/>
  <c r="E24" i="34"/>
  <c r="E23" i="34"/>
  <c r="F23" i="34" s="1"/>
  <c r="E22" i="34"/>
  <c r="F22" i="34" s="1"/>
  <c r="E21" i="34"/>
  <c r="F21" i="34" s="1"/>
  <c r="E27" i="33"/>
  <c r="F27" i="33" s="1"/>
  <c r="E26" i="33"/>
  <c r="F26" i="33" s="1"/>
  <c r="E25" i="33"/>
  <c r="F25" i="33" s="1"/>
  <c r="E24" i="33"/>
  <c r="E23" i="33"/>
  <c r="F23" i="33" s="1"/>
  <c r="E22" i="33"/>
  <c r="F22" i="33" s="1"/>
  <c r="E21" i="33"/>
  <c r="F21" i="33" s="1"/>
  <c r="E22" i="32"/>
  <c r="F22" i="32" s="1"/>
  <c r="E23" i="32"/>
  <c r="E24" i="32"/>
  <c r="E25" i="32"/>
  <c r="F25" i="32" s="1"/>
  <c r="E26" i="32"/>
  <c r="F26" i="32" s="1"/>
  <c r="E27" i="32"/>
  <c r="F27" i="32" s="1"/>
  <c r="E21" i="32"/>
  <c r="F21" i="32" s="1"/>
  <c r="F23" i="32"/>
  <c r="E22" i="30"/>
  <c r="E23" i="30"/>
  <c r="E24" i="30"/>
  <c r="E25" i="30"/>
  <c r="E26" i="30"/>
  <c r="E27" i="30"/>
  <c r="E21" i="30"/>
  <c r="E27" i="31"/>
  <c r="F27" i="31" s="1"/>
  <c r="F26" i="31"/>
  <c r="F25" i="31"/>
  <c r="E24" i="31"/>
  <c r="F23" i="31"/>
  <c r="F22" i="31"/>
  <c r="F21" i="31"/>
  <c r="F27" i="30" l="1"/>
  <c r="F26" i="30"/>
  <c r="F25" i="30"/>
  <c r="F23" i="30"/>
  <c r="F22" i="30"/>
  <c r="F21" i="30"/>
  <c r="E27" i="29"/>
  <c r="E26" i="29"/>
  <c r="E25" i="29"/>
  <c r="E24" i="29"/>
  <c r="E23" i="29"/>
  <c r="E22" i="29"/>
  <c r="E21" i="29"/>
  <c r="E27" i="27"/>
  <c r="F27" i="27" s="1"/>
  <c r="E26" i="27"/>
  <c r="F26" i="27" s="1"/>
  <c r="E25" i="27"/>
  <c r="F25" i="27" s="1"/>
  <c r="E24" i="27"/>
  <c r="E23" i="27"/>
  <c r="F23" i="27" s="1"/>
  <c r="E22" i="27"/>
  <c r="F22" i="27" s="1"/>
  <c r="E21" i="27"/>
  <c r="F21" i="27" s="1"/>
  <c r="F27" i="26"/>
  <c r="E27" i="26"/>
  <c r="E26" i="26"/>
  <c r="F26" i="26" s="1"/>
  <c r="E25" i="26"/>
  <c r="F25" i="26" s="1"/>
  <c r="E24" i="26"/>
  <c r="E23" i="26"/>
  <c r="F23" i="26" s="1"/>
  <c r="E22" i="26"/>
  <c r="F22" i="26" s="1"/>
  <c r="E21" i="26"/>
  <c r="F21" i="26" s="1"/>
  <c r="F27" i="25"/>
  <c r="E27" i="25"/>
  <c r="E26" i="25"/>
  <c r="F26" i="25" s="1"/>
  <c r="E25" i="25"/>
  <c r="F25" i="25" s="1"/>
  <c r="E24" i="25"/>
  <c r="E23" i="25"/>
  <c r="F23" i="25" s="1"/>
  <c r="E22" i="25"/>
  <c r="F22" i="25" s="1"/>
  <c r="E21" i="25"/>
  <c r="F21" i="25" s="1"/>
  <c r="F27" i="24"/>
  <c r="E27" i="24"/>
  <c r="E26" i="24"/>
  <c r="F26" i="24" s="1"/>
  <c r="F25" i="24"/>
  <c r="E25" i="24"/>
  <c r="E24" i="24"/>
  <c r="E23" i="24"/>
  <c r="F23" i="24" s="1"/>
  <c r="E22" i="24"/>
  <c r="F22" i="24" s="1"/>
  <c r="E21" i="24"/>
  <c r="F21" i="24" s="1"/>
  <c r="E27" i="23"/>
  <c r="F27" i="23" s="1"/>
  <c r="E26" i="23"/>
  <c r="F26" i="23" s="1"/>
  <c r="E25" i="23"/>
  <c r="F25" i="23" s="1"/>
  <c r="E24" i="23"/>
  <c r="E23" i="23"/>
  <c r="F23" i="23" s="1"/>
  <c r="E22" i="23"/>
  <c r="F22" i="23" s="1"/>
  <c r="E21" i="23"/>
  <c r="F21" i="23" s="1"/>
  <c r="E27" i="22"/>
  <c r="F27" i="22" s="1"/>
  <c r="E26" i="22"/>
  <c r="F26" i="22" s="1"/>
  <c r="E25" i="22"/>
  <c r="F25" i="22" s="1"/>
  <c r="E24" i="22"/>
  <c r="E23" i="22"/>
  <c r="F23" i="22" s="1"/>
  <c r="E22" i="22"/>
  <c r="F22" i="22" s="1"/>
  <c r="E21" i="22"/>
  <c r="F21" i="22" s="1"/>
  <c r="F27" i="21"/>
  <c r="E27" i="21"/>
  <c r="E26" i="21"/>
  <c r="F26" i="21" s="1"/>
  <c r="E25" i="21"/>
  <c r="F25" i="21" s="1"/>
  <c r="E24" i="21"/>
  <c r="E23" i="21"/>
  <c r="F23" i="21" s="1"/>
  <c r="E22" i="21"/>
  <c r="F22" i="21" s="1"/>
  <c r="E21" i="21"/>
  <c r="F21" i="21" s="1"/>
  <c r="E27" i="20"/>
  <c r="E26" i="20"/>
  <c r="E25" i="20"/>
  <c r="E24" i="20"/>
  <c r="E23" i="20"/>
  <c r="E22" i="20"/>
  <c r="E21" i="20"/>
  <c r="E27" i="19"/>
  <c r="F27" i="19" s="1"/>
  <c r="E26" i="19"/>
  <c r="F26" i="19" s="1"/>
  <c r="E25" i="19"/>
  <c r="F25" i="19" s="1"/>
  <c r="E24" i="19"/>
  <c r="E23" i="19"/>
  <c r="F23" i="19" s="1"/>
  <c r="E22" i="19"/>
  <c r="F22" i="19" s="1"/>
  <c r="E21" i="19"/>
  <c r="F21" i="19" s="1"/>
  <c r="E27" i="18"/>
  <c r="F27" i="18" s="1"/>
  <c r="E26" i="18"/>
  <c r="F26" i="18" s="1"/>
  <c r="E25" i="18"/>
  <c r="F25" i="18" s="1"/>
  <c r="E24" i="18"/>
  <c r="E23" i="18"/>
  <c r="F23" i="18" s="1"/>
  <c r="E22" i="18"/>
  <c r="F22" i="18" s="1"/>
  <c r="E21" i="18"/>
  <c r="F21" i="18" s="1"/>
  <c r="E27" i="17"/>
  <c r="F27" i="17" s="1"/>
  <c r="E26" i="17"/>
  <c r="F26" i="17" s="1"/>
  <c r="E25" i="17"/>
  <c r="F25" i="17" s="1"/>
  <c r="E24" i="17"/>
  <c r="E23" i="17"/>
  <c r="F23" i="17" s="1"/>
  <c r="E22" i="17"/>
  <c r="F22" i="17" s="1"/>
  <c r="E21" i="17"/>
  <c r="F21" i="17" s="1"/>
  <c r="E27" i="16"/>
  <c r="F27" i="16" s="1"/>
  <c r="E26" i="16"/>
  <c r="F26" i="16" s="1"/>
  <c r="E25" i="16"/>
  <c r="F25" i="16" s="1"/>
  <c r="E24" i="16"/>
  <c r="E23" i="16"/>
  <c r="F23" i="16" s="1"/>
  <c r="E22" i="16"/>
  <c r="F22" i="16" s="1"/>
  <c r="E21" i="16"/>
  <c r="F21" i="16" s="1"/>
  <c r="F27" i="15"/>
  <c r="E27" i="15"/>
  <c r="F26" i="15"/>
  <c r="E26" i="15"/>
  <c r="F25" i="15"/>
  <c r="E25" i="15"/>
  <c r="E24" i="15"/>
  <c r="F23" i="15"/>
  <c r="E23" i="15"/>
  <c r="E22" i="15"/>
  <c r="F22" i="15" s="1"/>
  <c r="E21" i="15"/>
  <c r="F21" i="15" s="1"/>
  <c r="F28" i="10" l="1"/>
  <c r="E27" i="11"/>
  <c r="F27" i="11" s="1"/>
  <c r="E26" i="11"/>
  <c r="F26" i="11" s="1"/>
  <c r="F25" i="11"/>
  <c r="E25" i="11"/>
  <c r="E24" i="11"/>
  <c r="E23" i="11"/>
  <c r="F23" i="11" s="1"/>
  <c r="E22" i="11"/>
  <c r="F22" i="11" s="1"/>
  <c r="E21" i="11"/>
  <c r="F21" i="11" s="1"/>
  <c r="F27" i="10"/>
  <c r="E26" i="10"/>
  <c r="F26" i="10" s="1"/>
  <c r="E25" i="10"/>
  <c r="F25" i="10" s="1"/>
  <c r="E24" i="10"/>
  <c r="E23" i="10"/>
  <c r="F23" i="10" s="1"/>
  <c r="E22" i="10"/>
  <c r="F22" i="10" s="1"/>
  <c r="E21" i="10"/>
  <c r="F21" i="10" s="1"/>
  <c r="F21" i="8"/>
  <c r="F22" i="8"/>
  <c r="F23" i="8"/>
  <c r="F25" i="8"/>
  <c r="F26" i="8"/>
  <c r="F27" i="8"/>
  <c r="C24" i="3"/>
  <c r="G29" i="5"/>
  <c r="J29" i="5" s="1"/>
  <c r="G28" i="5"/>
  <c r="A25" i="1"/>
  <c r="A23" i="1"/>
  <c r="A28" i="5" s="1"/>
  <c r="C23" i="3"/>
  <c r="A23" i="3"/>
  <c r="H24" i="5"/>
  <c r="G27" i="5"/>
  <c r="G26" i="5"/>
  <c r="I25" i="5"/>
  <c r="H25" i="5"/>
  <c r="I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E17" i="5"/>
  <c r="W17" i="5" s="1"/>
  <c r="E16" i="5"/>
  <c r="W16" i="5" s="1"/>
  <c r="I15" i="5"/>
  <c r="I14" i="5"/>
  <c r="W14" i="5"/>
  <c r="I13" i="5"/>
  <c r="E13" i="5"/>
  <c r="W13" i="5" s="1"/>
  <c r="I12" i="5"/>
  <c r="E12" i="5"/>
  <c r="I11" i="5"/>
  <c r="E11" i="5"/>
  <c r="W11" i="5" s="1"/>
  <c r="I10" i="5"/>
  <c r="E10" i="5"/>
  <c r="W10" i="5" s="1"/>
  <c r="I9" i="5"/>
  <c r="E9" i="5"/>
  <c r="W9" i="5" s="1"/>
  <c r="I8" i="5"/>
  <c r="E8" i="5"/>
  <c r="I7" i="5"/>
  <c r="E7" i="5"/>
  <c r="W7" i="5" s="1"/>
  <c r="N17" i="5" l="1"/>
  <c r="Q22" i="5"/>
  <c r="Q24" i="5"/>
  <c r="Q25" i="5"/>
  <c r="Q23" i="5"/>
  <c r="U29" i="5"/>
  <c r="U28" i="5"/>
  <c r="J28" i="5"/>
  <c r="L16" i="5"/>
  <c r="O18" i="5"/>
  <c r="S25" i="5"/>
  <c r="M24" i="5"/>
  <c r="O21" i="5"/>
  <c r="N21" i="5"/>
  <c r="Q21" i="5"/>
  <c r="P18" i="5"/>
  <c r="M18" i="5"/>
  <c r="N24" i="5"/>
  <c r="S17" i="5"/>
  <c r="N25" i="5"/>
  <c r="O22" i="5"/>
  <c r="P19" i="5"/>
  <c r="L17" i="5"/>
  <c r="S23" i="5"/>
  <c r="P23" i="5"/>
  <c r="L21" i="5"/>
  <c r="S18" i="5"/>
  <c r="O25" i="5"/>
  <c r="P22" i="5"/>
  <c r="L20" i="5"/>
  <c r="M17" i="5"/>
  <c r="S16" i="5"/>
  <c r="M25" i="5"/>
  <c r="N22" i="5"/>
  <c r="O19" i="5"/>
  <c r="P16" i="5"/>
  <c r="L25" i="5"/>
  <c r="M22" i="5"/>
  <c r="N19" i="5"/>
  <c r="O16" i="5"/>
  <c r="P24" i="5"/>
  <c r="L22" i="5"/>
  <c r="M19" i="5"/>
  <c r="N16" i="5"/>
  <c r="O24" i="5"/>
  <c r="P21" i="5"/>
  <c r="L19" i="5"/>
  <c r="M16" i="5"/>
  <c r="S24" i="5"/>
  <c r="Q20" i="5"/>
  <c r="L24" i="5"/>
  <c r="M21" i="5"/>
  <c r="N18" i="5"/>
  <c r="S7" i="5"/>
  <c r="S22" i="5"/>
  <c r="Q18" i="5"/>
  <c r="O23" i="5"/>
  <c r="P20" i="5"/>
  <c r="L18" i="5"/>
  <c r="S21" i="5"/>
  <c r="Q17" i="5"/>
  <c r="N23" i="5"/>
  <c r="O20" i="5"/>
  <c r="P17" i="5"/>
  <c r="S20" i="5"/>
  <c r="Q16" i="5"/>
  <c r="M23" i="5"/>
  <c r="N20" i="5"/>
  <c r="O17" i="5"/>
  <c r="Q19" i="5"/>
  <c r="S19" i="5"/>
  <c r="P25" i="5"/>
  <c r="L23" i="5"/>
  <c r="M20" i="5"/>
  <c r="B25" i="5"/>
  <c r="J25" i="5" s="1"/>
  <c r="P9" i="5"/>
  <c r="O15" i="5"/>
  <c r="N15" i="5"/>
  <c r="J26" i="5"/>
  <c r="U26" i="5" s="1"/>
  <c r="J27" i="5"/>
  <c r="U27" i="5" s="1"/>
  <c r="M15" i="5"/>
  <c r="B15" i="5"/>
  <c r="L15" i="5"/>
  <c r="C15" i="5"/>
  <c r="K15" i="5" s="1"/>
  <c r="C25" i="5"/>
  <c r="K25" i="5" s="1"/>
  <c r="S15" i="5"/>
  <c r="C22" i="5"/>
  <c r="K22" i="5" s="1"/>
  <c r="Q15" i="5"/>
  <c r="Q12" i="5"/>
  <c r="P15" i="5"/>
  <c r="W22" i="5"/>
  <c r="W19" i="5"/>
  <c r="L11" i="5"/>
  <c r="W21" i="5"/>
  <c r="L7" i="5"/>
  <c r="Q8" i="5"/>
  <c r="L10" i="5"/>
  <c r="M13" i="5"/>
  <c r="C23" i="5"/>
  <c r="K23" i="5" s="1"/>
  <c r="C7" i="5"/>
  <c r="S9" i="5"/>
  <c r="M11" i="5"/>
  <c r="B13" i="5"/>
  <c r="C19" i="5"/>
  <c r="K19" i="5" s="1"/>
  <c r="L8" i="5"/>
  <c r="N11" i="5"/>
  <c r="C13" i="5"/>
  <c r="K13" i="5" s="1"/>
  <c r="N8" i="5"/>
  <c r="P11" i="5"/>
  <c r="B16" i="5"/>
  <c r="O8" i="5"/>
  <c r="P8" i="5"/>
  <c r="S11" i="5"/>
  <c r="L13" i="5"/>
  <c r="B20" i="5"/>
  <c r="C8" i="5"/>
  <c r="K8" i="5" s="1"/>
  <c r="S14" i="5"/>
  <c r="M7" i="5"/>
  <c r="N10" i="5"/>
  <c r="B12" i="5"/>
  <c r="N13" i="5"/>
  <c r="C17" i="5"/>
  <c r="K17" i="5" s="1"/>
  <c r="Q14" i="5"/>
  <c r="N7" i="5"/>
  <c r="O10" i="5"/>
  <c r="Q13" i="5"/>
  <c r="P14" i="5"/>
  <c r="P7" i="5"/>
  <c r="P10" i="5"/>
  <c r="B21" i="5"/>
  <c r="O14" i="5"/>
  <c r="Q7" i="5"/>
  <c r="S10" i="5"/>
  <c r="M12" i="5"/>
  <c r="C14" i="5"/>
  <c r="K14" i="5" s="1"/>
  <c r="C21" i="5"/>
  <c r="K21" i="5" s="1"/>
  <c r="B24" i="5"/>
  <c r="J24" i="5" s="1"/>
  <c r="N14" i="5"/>
  <c r="R7" i="5"/>
  <c r="L9" i="5"/>
  <c r="N12" i="5"/>
  <c r="B18" i="5"/>
  <c r="M14" i="5"/>
  <c r="O9" i="5"/>
  <c r="P12" i="5"/>
  <c r="L14" i="5"/>
  <c r="M9" i="5"/>
  <c r="Q10" i="5"/>
  <c r="C11" i="5"/>
  <c r="K11" i="5" s="1"/>
  <c r="W12" i="5"/>
  <c r="O13" i="5"/>
  <c r="C16" i="5"/>
  <c r="K16" i="5" s="1"/>
  <c r="N9" i="5"/>
  <c r="L12" i="5"/>
  <c r="P13" i="5"/>
  <c r="B14" i="5"/>
  <c r="B17" i="5"/>
  <c r="W18" i="5"/>
  <c r="B22" i="5"/>
  <c r="W8" i="5"/>
  <c r="W23" i="5"/>
  <c r="M8" i="5"/>
  <c r="Q9" i="5"/>
  <c r="C10" i="5"/>
  <c r="O12" i="5"/>
  <c r="S13" i="5"/>
  <c r="C18" i="5"/>
  <c r="K18" i="5" s="1"/>
  <c r="B23" i="5"/>
  <c r="J23" i="5" s="1"/>
  <c r="W24" i="5"/>
  <c r="B19" i="5"/>
  <c r="W20" i="5"/>
  <c r="C9" i="5"/>
  <c r="O11" i="5"/>
  <c r="S12" i="5"/>
  <c r="W15" i="5"/>
  <c r="C24" i="5"/>
  <c r="K24" i="5" s="1"/>
  <c r="W25" i="5"/>
  <c r="O7" i="5"/>
  <c r="S8" i="5"/>
  <c r="M10" i="5"/>
  <c r="Q11" i="5"/>
  <c r="C12" i="5"/>
  <c r="C20" i="5"/>
  <c r="K20" i="5" s="1"/>
  <c r="T25" i="5" l="1"/>
  <c r="U25" i="5" s="1"/>
  <c r="T16" i="5"/>
  <c r="T20" i="5"/>
  <c r="T22" i="5"/>
  <c r="T24" i="5"/>
  <c r="T19" i="5"/>
  <c r="T17" i="5"/>
  <c r="T23" i="5"/>
  <c r="T21" i="5"/>
  <c r="T18" i="5"/>
  <c r="T7" i="5"/>
  <c r="U24" i="5"/>
  <c r="Y24" i="5" s="1"/>
  <c r="J9" i="5"/>
  <c r="D9" i="5"/>
  <c r="V9" i="5" s="1"/>
  <c r="X9" i="5" s="1"/>
  <c r="J16" i="5"/>
  <c r="D16" i="5"/>
  <c r="X16" i="5" s="1"/>
  <c r="J8" i="5"/>
  <c r="D8" i="5"/>
  <c r="V8" i="5" s="1"/>
  <c r="X8" i="5" s="1"/>
  <c r="J12" i="5"/>
  <c r="D12" i="5"/>
  <c r="V12" i="5" s="1"/>
  <c r="X12" i="5" s="1"/>
  <c r="J10" i="5"/>
  <c r="D10" i="5"/>
  <c r="V10" i="5" s="1"/>
  <c r="X10" i="5" s="1"/>
  <c r="D18" i="5"/>
  <c r="J18" i="5"/>
  <c r="J21" i="5"/>
  <c r="D21" i="5"/>
  <c r="J14" i="5"/>
  <c r="D14" i="5"/>
  <c r="V14" i="5" s="1"/>
  <c r="X14" i="5" s="1"/>
  <c r="J20" i="5"/>
  <c r="D20" i="5"/>
  <c r="J13" i="5"/>
  <c r="D13" i="5"/>
  <c r="V13" i="5" s="1"/>
  <c r="X13" i="5" s="1"/>
  <c r="U23" i="5"/>
  <c r="Y23" i="5" s="1"/>
  <c r="D23" i="5"/>
  <c r="J19" i="5"/>
  <c r="D19" i="5"/>
  <c r="J22" i="5"/>
  <c r="D22" i="5"/>
  <c r="J15" i="5"/>
  <c r="D15" i="5"/>
  <c r="V15" i="5" s="1"/>
  <c r="X15" i="5" s="1"/>
  <c r="J11" i="5"/>
  <c r="D11" i="5"/>
  <c r="V11" i="5" s="1"/>
  <c r="X11" i="5" s="1"/>
  <c r="D17" i="5"/>
  <c r="J17" i="5"/>
  <c r="D7" i="5"/>
  <c r="V7" i="5" s="1"/>
  <c r="X7" i="5" s="1"/>
  <c r="D25" i="5"/>
  <c r="D24" i="5"/>
  <c r="K7" i="5"/>
  <c r="C30" i="5"/>
  <c r="J7" i="5"/>
  <c r="B30" i="5"/>
  <c r="T15" i="5"/>
  <c r="T11" i="5"/>
  <c r="T12" i="5"/>
  <c r="T8" i="5"/>
  <c r="T14" i="5"/>
  <c r="T10" i="5"/>
  <c r="T13" i="5"/>
  <c r="T9" i="5"/>
  <c r="K9" i="5"/>
  <c r="K10" i="5"/>
  <c r="K12" i="5"/>
  <c r="U16" i="5" l="1"/>
  <c r="Y16" i="5" s="1"/>
  <c r="U22" i="5"/>
  <c r="Y22" i="5" s="1"/>
  <c r="J30" i="5"/>
  <c r="Y25" i="5"/>
  <c r="U17" i="5"/>
  <c r="U20" i="5"/>
  <c r="Y20" i="5" s="1"/>
  <c r="U19" i="5"/>
  <c r="Y19" i="5" s="1"/>
  <c r="U21" i="5"/>
  <c r="Y21" i="5" s="1"/>
  <c r="U15" i="5"/>
  <c r="U18" i="5"/>
  <c r="Y18" i="5" s="1"/>
  <c r="K30" i="5"/>
  <c r="U11" i="5"/>
  <c r="U8" i="5"/>
  <c r="D30" i="5"/>
  <c r="U13" i="5"/>
  <c r="U7" i="5"/>
  <c r="T30" i="5"/>
  <c r="U10" i="5"/>
  <c r="Y10" i="5" s="1"/>
  <c r="U12" i="5"/>
  <c r="U14" i="5"/>
  <c r="U9" i="5"/>
  <c r="Y9" i="5" s="1"/>
  <c r="U30" i="5" l="1"/>
  <c r="Y8" i="5"/>
  <c r="Y15" i="5"/>
  <c r="Y11" i="5"/>
  <c r="Y17" i="5"/>
  <c r="Y13" i="5"/>
  <c r="X30" i="5"/>
  <c r="Y7" i="5"/>
  <c r="Y14" i="5"/>
  <c r="Y12" i="5"/>
  <c r="Y3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Warwick Mylchreest</author>
  </authors>
  <commentList>
    <comment ref="V16" authorId="0" shapeId="0" xr:uid="{9375DC78-8014-470E-AAC5-D1D28C765A48}">
      <text>
        <r>
          <rPr>
            <b/>
            <sz val="9"/>
            <color indexed="81"/>
            <rFont val="Tahoma"/>
            <family val="2"/>
          </rPr>
          <t>Warwick Mylchreest:</t>
        </r>
        <r>
          <rPr>
            <sz val="9"/>
            <color indexed="81"/>
            <rFont val="Tahoma"/>
            <family val="2"/>
          </rPr>
          <t xml:space="preserve">
No top up hours applicable.</t>
        </r>
      </text>
    </comment>
  </commentList>
</comments>
</file>

<file path=xl/sharedStrings.xml><?xml version="1.0" encoding="utf-8"?>
<sst xmlns="http://schemas.openxmlformats.org/spreadsheetml/2006/main" count="5092" uniqueCount="374">
  <si>
    <t>Equipment</t>
  </si>
  <si>
    <t>Hours per Day</t>
  </si>
  <si>
    <t>25t Excavator LGP Tracks</t>
  </si>
  <si>
    <t>36t Excavator LGP Tracks</t>
  </si>
  <si>
    <t>D6 Dozer LGP Tracks</t>
  </si>
  <si>
    <t>Bell 30t Articulated Dumptruck #1</t>
  </si>
  <si>
    <t>Komatsu 30t Articulated Dumptruck #2</t>
  </si>
  <si>
    <t>Service Truck</t>
  </si>
  <si>
    <t>Rigid Watercart</t>
  </si>
  <si>
    <t>4WD Twin Cab LV #1</t>
  </si>
  <si>
    <t>4WD Twin Cab LV #2</t>
  </si>
  <si>
    <t>RE 4WD Twin Cab LV #1</t>
  </si>
  <si>
    <t>RE 4WD Twin Cab LV #2</t>
  </si>
  <si>
    <t>Operator 1</t>
  </si>
  <si>
    <t>Operator 2</t>
  </si>
  <si>
    <t>Operator 3</t>
  </si>
  <si>
    <t>Operator 4</t>
  </si>
  <si>
    <t>Operator 5</t>
  </si>
  <si>
    <t>Operator 6</t>
  </si>
  <si>
    <t>Operator 7</t>
  </si>
  <si>
    <t>Supervisor</t>
  </si>
  <si>
    <t>3" Flex Drive Trash Pump</t>
  </si>
  <si>
    <t>4" Transfer Pump</t>
  </si>
  <si>
    <t>Wallaby Beach Camp</t>
  </si>
  <si>
    <t>Date</t>
  </si>
  <si>
    <t>Operated Hours</t>
  </si>
  <si>
    <t>Standby Hours</t>
  </si>
  <si>
    <t>Breakdown Hours</t>
  </si>
  <si>
    <t>Variations Rate Days Hired</t>
  </si>
  <si>
    <t>Mob (Barge)</t>
  </si>
  <si>
    <t>DeMob (Barge)</t>
  </si>
  <si>
    <t>Mob (Road)</t>
  </si>
  <si>
    <t>DeMob (Road)</t>
  </si>
  <si>
    <t>Prep/Onboard</t>
  </si>
  <si>
    <t>Op Induction</t>
  </si>
  <si>
    <t>Op Mob</t>
  </si>
  <si>
    <t>Op DeMob</t>
  </si>
  <si>
    <t>Notes</t>
  </si>
  <si>
    <t>Breakdown</t>
  </si>
  <si>
    <t>Plant Rate (/hr)</t>
  </si>
  <si>
    <t>Variations Rate/Day</t>
  </si>
  <si>
    <t>Operator Rate (/hr)</t>
  </si>
  <si>
    <t>Standby Rate (/hr)</t>
  </si>
  <si>
    <t>Prep &amp; Onboard</t>
  </si>
  <si>
    <t>Mob Barge</t>
  </si>
  <si>
    <t>DeMob Barge</t>
  </si>
  <si>
    <t>Mob Road</t>
  </si>
  <si>
    <t>DeMob Road</t>
  </si>
  <si>
    <t>Operator Induction</t>
  </si>
  <si>
    <t>Operator Mob</t>
  </si>
  <si>
    <t>Operator DeMob</t>
  </si>
  <si>
    <t>GST %</t>
  </si>
  <si>
    <t>Monthly Claim - Rio Tinto</t>
  </si>
  <si>
    <t>Month Start (enter first of month):</t>
  </si>
  <si>
    <t>Minimum hours per calendar month</t>
  </si>
  <si>
    <t>Month End (auto):</t>
  </si>
  <si>
    <t>Total Hours</t>
  </si>
  <si>
    <t>Plant Rate</t>
  </si>
  <si>
    <t>Days Hired</t>
  </si>
  <si>
    <t>Variations Rate</t>
  </si>
  <si>
    <t>Operator Rate</t>
  </si>
  <si>
    <t>Standby Rate</t>
  </si>
  <si>
    <t>Operated ex GST</t>
  </si>
  <si>
    <t>Standby ex GST</t>
  </si>
  <si>
    <t>Fixed ex GST</t>
  </si>
  <si>
    <t>Subtotal ex GST</t>
  </si>
  <si>
    <t>Top-up Hours to Min</t>
  </si>
  <si>
    <t>Operated Rate (/hr)</t>
  </si>
  <si>
    <t>Top-up ex GST</t>
  </si>
  <si>
    <t>TOTALS</t>
  </si>
  <si>
    <t>SI#</t>
  </si>
  <si>
    <t>Description</t>
  </si>
  <si>
    <t>Cost</t>
  </si>
  <si>
    <t>Wallaby Beach Accommodation</t>
  </si>
  <si>
    <t>Signed:</t>
  </si>
  <si>
    <t>Client Approver:</t>
  </si>
  <si>
    <t>Materials Delivered/ used:</t>
  </si>
  <si>
    <t>Supervisor: Warwick Mylchreest</t>
  </si>
  <si>
    <t>Progress/ Notes:</t>
  </si>
  <si>
    <t>Load, Haul &amp; Place Levee Access Road</t>
  </si>
  <si>
    <t>Water Truck</t>
  </si>
  <si>
    <t>Komatsu Moxy. TAT 52</t>
  </si>
  <si>
    <t>Bell Moxy. TAT 56</t>
  </si>
  <si>
    <t>36t Excavator</t>
  </si>
  <si>
    <t>25t Excavator</t>
  </si>
  <si>
    <t>D6 Dozer</t>
  </si>
  <si>
    <t>B/Down Hrs</t>
  </si>
  <si>
    <t>S/by Hrs</t>
  </si>
  <si>
    <t>Wrk'd Hrs</t>
  </si>
  <si>
    <t>SMU end</t>
  </si>
  <si>
    <t>SMU Start</t>
  </si>
  <si>
    <t>Plant</t>
  </si>
  <si>
    <t>Stewart Rioli</t>
  </si>
  <si>
    <t>Jack Barlee</t>
  </si>
  <si>
    <t>Arthur De Saint Andrieu</t>
  </si>
  <si>
    <t>Byron McCann</t>
  </si>
  <si>
    <t>Steven Mungatopi</t>
  </si>
  <si>
    <t>Visitors to Site:</t>
  </si>
  <si>
    <t>Activity</t>
  </si>
  <si>
    <t>Wrk Hrs</t>
  </si>
  <si>
    <t>Personnel</t>
  </si>
  <si>
    <t xml:space="preserve">Activity/ Task: </t>
  </si>
  <si>
    <t>Project:                   Pond 6 South Benthic Removal                 Date:       1/11/25                        Weather: Fine</t>
  </si>
  <si>
    <t xml:space="preserve">            Rirratjingu Enterprises Pty Ltd</t>
  </si>
  <si>
    <t>Worked Hours Record</t>
  </si>
  <si>
    <t>Real Name</t>
  </si>
  <si>
    <t>Operator Code (e.g. Operator 1)</t>
  </si>
  <si>
    <t>First operational shift</t>
  </si>
  <si>
    <t>Materials Delivered / used:</t>
  </si>
  <si>
    <t>Payden Coghill</t>
  </si>
  <si>
    <t>Days</t>
  </si>
  <si>
    <t>Project:                   Pond 6 South Benthic Removal                 Date:       2/11/25                        Weather: Fine</t>
  </si>
  <si>
    <t>Project:                   Pond 6 South Benthic Removal                 Date:       3/11/25                        Weather: Fine</t>
  </si>
  <si>
    <t>Load, Haul, Place &amp; Compact Levee Plug</t>
  </si>
  <si>
    <t>Standdown</t>
  </si>
  <si>
    <t>No work front for dozer - assist on ground</t>
  </si>
  <si>
    <t>Project:                   Pond 6 South Benthic Removal                 Date:       4/11/25                        Weather: Fine</t>
  </si>
  <si>
    <t>Project:                   Pond 6 South Benthic Removal                 Date:       5/11/25                        Weather: Fine</t>
  </si>
  <si>
    <t>Project:                   Pond 6 South Benthic Removal                 Date:       6/11/25                        Weather: Fine</t>
  </si>
  <si>
    <t xml:space="preserve">Trench, Realign &amp; Backfill Dewatering Pipeline </t>
  </si>
  <si>
    <t>Trench, Realign &amp; Backfill Dewatering Pipeline</t>
  </si>
  <si>
    <t>Project:                   Pond 6 South Benthic Removal                 Date:       7/11/25                        Weather: Fine</t>
  </si>
  <si>
    <t>Load, Haul &amp; Place Benthic Trial Access Road</t>
  </si>
  <si>
    <t>Project:                   Pond 6 South Benthic Removal                 Date:       8/11/25                        Weather: Fine</t>
  </si>
  <si>
    <t>Project:                   Pond 6 South Benthic Removal                 Date:       9/11/25                        Weather: Fine</t>
  </si>
  <si>
    <t>Day Off</t>
  </si>
  <si>
    <t>Project:                   Pond 6 South Benthic Removal                 Date:       10/11/25                        Weather: Fine</t>
  </si>
  <si>
    <t>RE Inductions</t>
  </si>
  <si>
    <t>Benthic Drying Trial</t>
  </si>
  <si>
    <t>Project:                   Pond 6 South Benthic Removal                 Date:       11/11/25                        Weather: Rain &amp; lightning</t>
  </si>
  <si>
    <t>Inductions, VOC's, Training</t>
  </si>
  <si>
    <t>Plant Maintenance</t>
  </si>
  <si>
    <t>20mm rain @ midday</t>
  </si>
  <si>
    <t>Lightning events</t>
  </si>
  <si>
    <t>Project:                   Pond 6 South Benthic Removal                 Date:       12/11/25                        Weather: Fine</t>
  </si>
  <si>
    <t>Ran for 3.3 hours and still had issues</t>
  </si>
  <si>
    <t>Project:                   Pond 6 South Benthic Removal                 Date:       13/11/25                        Weather: Fine</t>
  </si>
  <si>
    <t>Dust Suppression</t>
  </si>
  <si>
    <t>Project:                   Pond 6 South Benthic Removal                 Date:       14/11/25                        Weather: Fine</t>
  </si>
  <si>
    <t>Project:                   Pond 6 South Benthic Removal                 Date:       15/11/25                        Weather: Fine</t>
  </si>
  <si>
    <t>Project:                   Pond 6 South Benthic Removal                 Date:       16/11/25                        Weather: Rain</t>
  </si>
  <si>
    <t>Wet Weather</t>
  </si>
  <si>
    <t>Fly out day</t>
  </si>
  <si>
    <t>Pumps on site</t>
  </si>
  <si>
    <t>Project:                   Pond 6 South Benthic Removal                 Date:       24/11/25                        Weather: Dry</t>
  </si>
  <si>
    <t>Fly in day - Excavator</t>
  </si>
  <si>
    <t>Fly in day - Water Cart</t>
  </si>
  <si>
    <t>Fly in day - Moxy</t>
  </si>
  <si>
    <t>Fly in day - Standby</t>
  </si>
  <si>
    <t>Fly in day - Dozer</t>
  </si>
  <si>
    <t>Levee works</t>
  </si>
  <si>
    <t>Pond 6</t>
  </si>
  <si>
    <t>Pump pad</t>
  </si>
  <si>
    <t>Haulage</t>
  </si>
  <si>
    <t>Standby</t>
  </si>
  <si>
    <t>Dry, Fly in day</t>
  </si>
  <si>
    <t>Project:                   Pond 6 South Benthic Removal                 Date:       26/11/25                       Weather: Dry</t>
  </si>
  <si>
    <t>Excavator</t>
  </si>
  <si>
    <t>Water cart/ Service truck</t>
  </si>
  <si>
    <t>Moxy</t>
  </si>
  <si>
    <t xml:space="preserve">Dozer </t>
  </si>
  <si>
    <t>Jarrad Ernst</t>
  </si>
  <si>
    <t>Refuelling machines</t>
  </si>
  <si>
    <t>Project:                   Pond 6 South Benthic Removal                 Date:       25/11/25                       Weather: Dry</t>
  </si>
  <si>
    <t>Project:                   Pond 6 South Benthic Removal                 Date:       27/11/25                       Weather: Dry</t>
  </si>
  <si>
    <t>Project:                   Pond 6 South Benthic Removal                 Date:       28/11/25                       Weather: Dry</t>
  </si>
  <si>
    <t>Both Moxys are currently down, x 1 split tyre, waiting on parts</t>
  </si>
  <si>
    <t>Did not use</t>
  </si>
  <si>
    <t>Benthic access road/ Tip head</t>
  </si>
  <si>
    <t>Mixing and loading Pond 6 Stock pile</t>
  </si>
  <si>
    <t>Pump pad Pond 6/ Pump install</t>
  </si>
  <si>
    <t xml:space="preserve"> Haulage / Down tyre damage</t>
  </si>
  <si>
    <t>Benthic access road</t>
  </si>
  <si>
    <t xml:space="preserve">Mixing and loading Pond 6 Stock pile </t>
  </si>
  <si>
    <t>Haulage / Down tyre damage</t>
  </si>
  <si>
    <t>Project:                   Pond 6 South Benthic Removal                 Date:       29/11/25                       Weather: Dry</t>
  </si>
  <si>
    <t>Pond 6 Pump set up/ Dewatering</t>
  </si>
  <si>
    <t xml:space="preserve">Water cart </t>
  </si>
  <si>
    <t xml:space="preserve">Borrows works </t>
  </si>
  <si>
    <t xml:space="preserve"> Access Rd pipe drainage</t>
  </si>
  <si>
    <t>Dewatering/ Pipe in ground for drainage</t>
  </si>
  <si>
    <t>Down tyre damage</t>
  </si>
  <si>
    <t>Dust Suppression Pond 6</t>
  </si>
  <si>
    <t>Refuelling</t>
  </si>
  <si>
    <t>Borrows works</t>
  </si>
  <si>
    <t>Access Rd pipe drainage</t>
  </si>
  <si>
    <t>Project:                   Pond 6 South Benthic Removal                 Date:       30/11/25                       Weather: Dry</t>
  </si>
  <si>
    <t xml:space="preserve"> Borrow Pit 5 works/ drainage</t>
  </si>
  <si>
    <t>Draing access Rd</t>
  </si>
  <si>
    <t>Refuelling/ Down for air hose to fuel</t>
  </si>
  <si>
    <t>Borrow Pit 5 works/ drainage</t>
  </si>
  <si>
    <t>Service truck down with damaged air line to fuel.</t>
  </si>
  <si>
    <t>Both Moxys are currently down, x 1 split tyre, waiting on parts.</t>
  </si>
  <si>
    <t>Adj total ex GST</t>
  </si>
  <si>
    <t>Project:                   Pond 6 South Benthic Removal                 Date:       01/12/25                       Weather: Dry</t>
  </si>
  <si>
    <t>Project:                   Pond 6 South Benthic Removal                 Date:       2/12/25                       Weather: Dry</t>
  </si>
  <si>
    <t>Benthic Turning over</t>
  </si>
  <si>
    <t>Dust Suppression Pond 6/ Watering Pond 5 Hydromulch</t>
  </si>
  <si>
    <t>25t Excv Down damaged Estop</t>
  </si>
  <si>
    <t>Down due to E-Stop Damage Caused from the task.</t>
  </si>
  <si>
    <t>25t Excv Down due to E-Stop Damage Caused from the task.</t>
  </si>
  <si>
    <t>Project:                   Pond 6 South Benthic Removal                 Date:       3/12/25                       Weather: Dry</t>
  </si>
  <si>
    <t>Project:                   Pond 6 South Benthic Removal                 Date:       4/12/25                       Weather: Dry</t>
  </si>
  <si>
    <t>Standby due to weather</t>
  </si>
  <si>
    <t>Demarcation</t>
  </si>
  <si>
    <t>Project:                   Pond 6 South Benthic Removal                 Date:       6/12/25                       Weather: Wet</t>
  </si>
  <si>
    <t>Water Cart down with 2 rear left axle tyres flat</t>
  </si>
  <si>
    <t>Operator Prep &amp; Onboarding</t>
  </si>
  <si>
    <t>Medical</t>
  </si>
  <si>
    <t>Op Prep &amp; Onboarding</t>
  </si>
  <si>
    <t xml:space="preserve">WATERCART - x 2 rear axle tyres flat </t>
  </si>
  <si>
    <t>X2 MOXYS down - tyre and mechancial issues</t>
  </si>
  <si>
    <t> </t>
  </si>
  <si>
    <t xml:space="preserve">Down rear left axle tyres flat </t>
  </si>
  <si>
    <t>Road works Pond 6</t>
  </si>
  <si>
    <t xml:space="preserve">Supervisor </t>
  </si>
  <si>
    <t xml:space="preserve">Benthic Stockpile turnover </t>
  </si>
  <si>
    <t>Road Works Pond 6</t>
  </si>
  <si>
    <t>Dewatering</t>
  </si>
  <si>
    <t>sick</t>
  </si>
  <si>
    <t>Service Cart Pond 6</t>
  </si>
  <si>
    <t xml:space="preserve">Clearing out Benthic area </t>
  </si>
  <si>
    <t>Project:                   Pond 6 South Benthic Removal                 Date:       7/12/25                        Weather: Fine</t>
  </si>
  <si>
    <t>Down rear left axle tyres flat</t>
  </si>
  <si>
    <t>Project:                   Pond 6 South Benthic Removal                 Date:       8/12/25                        Weather: Fine</t>
  </si>
  <si>
    <t>Stockpile Benthic</t>
  </si>
  <si>
    <t>Dewatering/ Signage</t>
  </si>
  <si>
    <t xml:space="preserve">Pond 6 tip head LV parkup/ Pond 6 Benthic stockpile </t>
  </si>
  <si>
    <t>SMU start</t>
  </si>
  <si>
    <t>Pond 6 Tip head LV park up/ benthic stockpiles</t>
  </si>
  <si>
    <t>Benthic stockpile</t>
  </si>
  <si>
    <t>DID NOT USE</t>
  </si>
  <si>
    <t>Project:                   Pond 6 South Benthic Removal                 Date:       9/12/25                        Weather: Fine</t>
  </si>
  <si>
    <t>Service Cart/ Watercart  Pond</t>
  </si>
  <si>
    <t>Dewatering/ Signage/ Moxy VEOP</t>
  </si>
  <si>
    <t>Pond 6 Rd works</t>
  </si>
  <si>
    <t xml:space="preserve">Benthic stockpile </t>
  </si>
  <si>
    <t xml:space="preserve">Pond 6 watering </t>
  </si>
  <si>
    <t>Pond 6 watering</t>
  </si>
  <si>
    <t>Project:                   Pond 6 South Benthic Removal                 Date:       10/12/25                        Weather: Fine</t>
  </si>
  <si>
    <t>Operate Moxy</t>
  </si>
  <si>
    <t>Sheet levee Rd</t>
  </si>
  <si>
    <t>Load moxy on clay stockpile</t>
  </si>
  <si>
    <t xml:space="preserve">Sheet benthic trials </t>
  </si>
  <si>
    <t xml:space="preserve">New Benthic stocpile </t>
  </si>
  <si>
    <t xml:space="preserve">Load out Moxy on clay stockpile </t>
  </si>
  <si>
    <t>MOXY BC706</t>
  </si>
  <si>
    <t>Moxy Pond 6</t>
  </si>
  <si>
    <t>MOXY BC705</t>
  </si>
  <si>
    <t xml:space="preserve">Commenced using x 2 BC Moxys </t>
  </si>
  <si>
    <t>Sheet benthic trials</t>
  </si>
  <si>
    <t>New Benthic stocpile</t>
  </si>
  <si>
    <t>Load out Moxy on clay stockpile</t>
  </si>
  <si>
    <t>Project:                   Pond 6 South Benthic Removal                 Date:       11/12/25                        Weather: Fine</t>
  </si>
  <si>
    <t>Dozer starter motor - Used as spotter</t>
  </si>
  <si>
    <t>Broken down starter motor</t>
  </si>
  <si>
    <t>Pond 6 tip head</t>
  </si>
  <si>
    <t>Loading stockpile</t>
  </si>
  <si>
    <t>Dozer broken down - Starter motoe</t>
  </si>
  <si>
    <t>Project:                   Pond 6 South Benthic Removal                 Date:       12/12/25                        Weather: Fine</t>
  </si>
  <si>
    <t>Pond 6 Tiphead</t>
  </si>
  <si>
    <t>Load out Benthic</t>
  </si>
  <si>
    <t>Did nout use</t>
  </si>
  <si>
    <t>Project:                   Pond 6 South Benthic Removal                 Date:       13/12/25                        Weather: Fine</t>
  </si>
  <si>
    <t>Sick</t>
  </si>
  <si>
    <t xml:space="preserve">Dewatering </t>
  </si>
  <si>
    <t>Load out Benthic/  Wash excavator</t>
  </si>
  <si>
    <t>Did not use  - Operator dewatered and clean up</t>
  </si>
  <si>
    <t>Fly out day - travel</t>
  </si>
  <si>
    <t>Dozer broken down - Starter motor</t>
  </si>
  <si>
    <t>Clean up</t>
  </si>
  <si>
    <t xml:space="preserve">Clean uo </t>
  </si>
  <si>
    <t>Project:                   Pond 6 South Benthic Removal                 Date:       14/12/25                        Weather: Fine</t>
  </si>
  <si>
    <t>Clean uo</t>
  </si>
  <si>
    <t>Project:                   Pond 6 South Benthic Removal                 Date:       5/1/26                        Weather: Wet</t>
  </si>
  <si>
    <t>Fly in day - Signage</t>
  </si>
  <si>
    <t>Leave</t>
  </si>
  <si>
    <t xml:space="preserve">Drive in day </t>
  </si>
  <si>
    <t xml:space="preserve">Standby weather </t>
  </si>
  <si>
    <t>No operator</t>
  </si>
  <si>
    <t xml:space="preserve">No operator </t>
  </si>
  <si>
    <t>Standby weather</t>
  </si>
  <si>
    <t>Fueling EX and pump</t>
  </si>
  <si>
    <t xml:space="preserve">Fly in day </t>
  </si>
  <si>
    <t xml:space="preserve">Moxy operator and EX operator on leave </t>
  </si>
  <si>
    <t xml:space="preserve">Dozzer broken down </t>
  </si>
  <si>
    <t>Project:                   Pond 6 South Benthic Removal                 Date:       7/1/26                        Weather: Fine</t>
  </si>
  <si>
    <t xml:space="preserve">Drainage and bund reapir </t>
  </si>
  <si>
    <t xml:space="preserve">Service cart - Signage </t>
  </si>
  <si>
    <t xml:space="preserve">Signage </t>
  </si>
  <si>
    <t xml:space="preserve">Relocating Dozer to Pond 6 Tip head </t>
  </si>
  <si>
    <t xml:space="preserve">Relocated for float move for repair </t>
  </si>
  <si>
    <t xml:space="preserve">Bund repair and drainage </t>
  </si>
  <si>
    <t xml:space="preserve">Dozer relocated for float move to Darkys for repair </t>
  </si>
  <si>
    <t>Bund repair and drainage</t>
  </si>
  <si>
    <t xml:space="preserve">                                 Floating Dozer to Darkys </t>
  </si>
  <si>
    <t xml:space="preserve">Floated to Darkys </t>
  </si>
  <si>
    <t xml:space="preserve">Standby </t>
  </si>
  <si>
    <t>Doxer floated to Darkys for repair</t>
  </si>
  <si>
    <t>Floated to Darkys</t>
  </si>
  <si>
    <t>Project:                   Pond 6 South Benthic Removal                 Date:       8/1/26                        Weather: Fine</t>
  </si>
  <si>
    <t xml:space="preserve">Drainage and Benthic rd repair </t>
  </si>
  <si>
    <t>Signage and Moxy</t>
  </si>
  <si>
    <t>Fly in day Moxy</t>
  </si>
  <si>
    <t xml:space="preserve"> Signage </t>
  </si>
  <si>
    <t xml:space="preserve">                                     Darkys being repaired </t>
  </si>
  <si>
    <t xml:space="preserve">Benthic rd </t>
  </si>
  <si>
    <t>Rd watering</t>
  </si>
  <si>
    <t>Doxer at Darkys for repair</t>
  </si>
  <si>
    <t xml:space="preserve"> EX operator on leave </t>
  </si>
  <si>
    <t>Darkys being repaired</t>
  </si>
  <si>
    <t>Benthic rd</t>
  </si>
  <si>
    <t>Project:                   Pond 6 South Benthic Removal                 Date:       9/1/26                        Weather: Fine</t>
  </si>
  <si>
    <t>Benthic Rd/ Load Benthic</t>
  </si>
  <si>
    <t>Delivering Benthic to Pond 6 Tiphead</t>
  </si>
  <si>
    <t>Rd watering not required</t>
  </si>
  <si>
    <t>Project:                   Pond 6 South Benthic Removal                 Date:       11/1/26                        Weather: Fine</t>
  </si>
  <si>
    <t xml:space="preserve"> Signage - Spotter</t>
  </si>
  <si>
    <t xml:space="preserve">Waiting on float </t>
  </si>
  <si>
    <t>Wet weather from approx 3pm</t>
  </si>
  <si>
    <t>SMU finish</t>
  </si>
  <si>
    <t>Benthic Rd PS6 Tiphead</t>
  </si>
  <si>
    <t>Watering Rd</t>
  </si>
  <si>
    <t>Moxy 705 - Tray issue / Moxy 706 Aircon</t>
  </si>
  <si>
    <t>Project:                   Pond 6 South Benthic Removal                 Date:       12/1/26                        Weather: Fine</t>
  </si>
  <si>
    <t>Pipe install Pond 5</t>
  </si>
  <si>
    <t>Service cart/ Pump</t>
  </si>
  <si>
    <t xml:space="preserve">Sigange Loader work at the Quarry  </t>
  </si>
  <si>
    <t>Signage</t>
  </si>
  <si>
    <t>PS6 Tip head, Benthic Rd, P6/P5 drainage spillway</t>
  </si>
  <si>
    <t>Fly in day</t>
  </si>
  <si>
    <t>PS6 Tiphead, Benthic Rd, P5/P6 Drainage</t>
  </si>
  <si>
    <t xml:space="preserve">Operator fly in day - Benthic Rd </t>
  </si>
  <si>
    <t xml:space="preserve">Pipe install Pond 5 </t>
  </si>
  <si>
    <t>Tray issue - waiting on Blackcat</t>
  </si>
  <si>
    <t>Aircon not working - waiting on Blackcat</t>
  </si>
  <si>
    <t>Not required</t>
  </si>
  <si>
    <t xml:space="preserve">Moxy 705 - Tray issue / Moxy 706 Aircon - Waiting on Blackcat </t>
  </si>
  <si>
    <t>Operator fly in day - Benthic Rd</t>
  </si>
  <si>
    <t>Project:                   Pond 6 South Benthic Removal                 Date:       13/1/26                        Weather: Fine</t>
  </si>
  <si>
    <t>Warwick Mylchreest</t>
  </si>
  <si>
    <t>PS6 Tiphead, spillway erosion repairs</t>
  </si>
  <si>
    <t>Load moxies benthic area</t>
  </si>
  <si>
    <t>Hauling</t>
  </si>
  <si>
    <t xml:space="preserve">Moxy 706 - Tray issue </t>
  </si>
  <si>
    <t>Project:                   Pond 6 South Benthic Removal                 Date:       14/1/26                        Weather: Fine</t>
  </si>
  <si>
    <t>Benthic removal</t>
  </si>
  <si>
    <t>PS6 Tiphead, Down</t>
  </si>
  <si>
    <t>Spotter/Fueling EX and pump</t>
  </si>
  <si>
    <t>Project:                   Pond 6 South Benthic Removal                 Date:       15/1/26                        Weather: Fine</t>
  </si>
  <si>
    <t>Moxy &amp; Water Truck</t>
  </si>
  <si>
    <t>Moxy &amp; Signage</t>
  </si>
  <si>
    <t>PS6 Tiphead</t>
  </si>
  <si>
    <t>Benthic haul</t>
  </si>
  <si>
    <t>Project:                   Pond 6 South Benthic Removal                 Date:       16/1/26                        Weather: Overcast</t>
  </si>
  <si>
    <t>Service cart/ Pump/ Spotter</t>
  </si>
  <si>
    <t>Not Used</t>
  </si>
  <si>
    <t>Project:                   Pond 6 South Benthic Removal                 Date:       17/1/26                        Weather: Rain</t>
  </si>
  <si>
    <t>Drain Works at Pond 5 Toe Road</t>
  </si>
  <si>
    <t>Pump/Spotter/Washing Machines</t>
  </si>
  <si>
    <t>Drive out day</t>
  </si>
  <si>
    <t>Hauling at Pond 5</t>
  </si>
  <si>
    <t>Washing Machines</t>
  </si>
  <si>
    <t>Hampered by rain early</t>
  </si>
  <si>
    <t>Project:                   Pond 6 South Benthic Removal                 Date:       18/1/26                        Weather: Fine</t>
  </si>
  <si>
    <t>Drain Works at Pond 5 Toe Road/Fly out</t>
  </si>
  <si>
    <t>Pump/Washing Machines/Fly out</t>
  </si>
  <si>
    <t>Moxy/Fly out</t>
  </si>
  <si>
    <t>Fly out</t>
  </si>
  <si>
    <t>Drain works Pond 6</t>
  </si>
  <si>
    <t>Drainage Wash/Excavator</t>
  </si>
  <si>
    <t>Drain Work Pond 5</t>
  </si>
  <si>
    <t>Not used</t>
  </si>
  <si>
    <t>MOXY BC707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</si>
</sst>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dd/mm/yyyy"/>
    <numFmt numFmtId="166" formatCode="&quot;$&quot;#,##0.00"/>
  </numFmts>
  <fonts count="2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6"/>
      <color rgb="FFFF0000"/>
      <name val="Arial"/>
      <family val="2"/>
    </font>
    <font>
      <b/>
      <sz val="16"/>
      <color rgb="FF000000"/>
      <name val="Arial Narrow"/>
      <family val="2"/>
      <charset val="1"/>
    </font>
    <font>
      <b/>
      <sz val="22"/>
      <color rgb="FF00FF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rgb="FFFF0000"/>
      <name val="Arial"/>
      <family val="2"/>
    </font>
    <font>
      <b/>
      <sz val="11"/>
      <color rgb="FF000000"/>
      <name val="Arial Narrow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EAF2FF"/>
        <bgColor rgb="FFEAF2FF"/>
      </patternFill>
    </fill>
    <fill>
      <patternFill patternType="solid">
        <fgColor theme="2"/>
        <bgColor indexed="64"/>
      </patternFill>
    </fill>
    <fill>
      <patternFill patternType="solid">
        <fgColor rgb="FFEEF7FF"/>
        <bgColor rgb="FFEEF7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EAF2FF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rgb="FFEAF2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44" fontId="3" fillId="0" borderId="0" applyFont="0" applyFill="0" applyBorder="0" applyAlignment="0" applyProtection="0"/>
  </cellStyleXfs>
  <cellXfs count="246">
    <xf numFmtId="0" fontId="0" fillId="0" borderId="0" xfId="0"/>
    <xf numFmtId="0" fontId="1" fillId="2" borderId="0" xfId="0" applyFont="1" applyFill="1"/>
    <xf numFmtId="0" fontId="0" fillId="5" borderId="0" xfId="0" applyFill="1"/>
    <xf numFmtId="0" fontId="1" fillId="6" borderId="0" xfId="0" applyFont="1" applyFill="1"/>
    <xf numFmtId="44" fontId="0" fillId="0" borderId="0" xfId="2" applyFont="1"/>
    <xf numFmtId="0" fontId="0" fillId="0" borderId="4" xfId="0" applyBorder="1"/>
    <xf numFmtId="0" fontId="0" fillId="3" borderId="0" xfId="0" applyFill="1"/>
    <xf numFmtId="44" fontId="0" fillId="0" borderId="0" xfId="2" applyFont="1" applyBorder="1"/>
    <xf numFmtId="44" fontId="0" fillId="0" borderId="0" xfId="0" applyNumberFormat="1"/>
    <xf numFmtId="44" fontId="0" fillId="3" borderId="0" xfId="2" applyFont="1" applyFill="1" applyBorder="1"/>
    <xf numFmtId="0" fontId="1" fillId="0" borderId="6" xfId="0" applyFont="1" applyBorder="1"/>
    <xf numFmtId="0" fontId="5" fillId="0" borderId="7" xfId="0" applyFont="1" applyBorder="1"/>
    <xf numFmtId="0" fontId="0" fillId="3" borderId="7" xfId="0" applyFill="1" applyBorder="1"/>
    <xf numFmtId="44" fontId="0" fillId="0" borderId="7" xfId="2" applyFont="1" applyBorder="1"/>
    <xf numFmtId="44" fontId="5" fillId="0" borderId="7" xfId="2" applyFont="1" applyBorder="1"/>
    <xf numFmtId="0" fontId="5" fillId="3" borderId="7" xfId="0" applyFont="1" applyFill="1" applyBorder="1"/>
    <xf numFmtId="44" fontId="5" fillId="7" borderId="7" xfId="2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2" fillId="0" borderId="1" xfId="0" applyFont="1" applyBorder="1"/>
    <xf numFmtId="0" fontId="0" fillId="0" borderId="2" xfId="0" applyBorder="1"/>
    <xf numFmtId="165" fontId="0" fillId="0" borderId="0" xfId="0" applyNumberFormat="1"/>
    <xf numFmtId="165" fontId="0" fillId="8" borderId="0" xfId="0" applyNumberFormat="1" applyFill="1" applyProtection="1">
      <protection locked="0"/>
    </xf>
    <xf numFmtId="0" fontId="1" fillId="0" borderId="0" xfId="0" applyFont="1"/>
    <xf numFmtId="0" fontId="1" fillId="4" borderId="7" xfId="0" applyFont="1" applyFill="1" applyBorder="1"/>
    <xf numFmtId="0" fontId="0" fillId="0" borderId="9" xfId="0" applyBorder="1"/>
    <xf numFmtId="0" fontId="0" fillId="0" borderId="10" xfId="0" applyBorder="1"/>
    <xf numFmtId="0" fontId="1" fillId="9" borderId="11" xfId="0" applyFont="1" applyFill="1" applyBorder="1"/>
    <xf numFmtId="0" fontId="0" fillId="5" borderId="11" xfId="0" applyFill="1" applyBorder="1"/>
    <xf numFmtId="165" fontId="0" fillId="8" borderId="11" xfId="0" applyNumberFormat="1" applyFill="1" applyBorder="1" applyProtection="1">
      <protection locked="0"/>
    </xf>
    <xf numFmtId="0" fontId="0" fillId="8" borderId="11" xfId="0" applyFill="1" applyBorder="1" applyProtection="1">
      <protection locked="0"/>
    </xf>
    <xf numFmtId="166" fontId="0" fillId="0" borderId="0" xfId="0" applyNumberFormat="1"/>
    <xf numFmtId="0" fontId="1" fillId="2" borderId="12" xfId="0" applyFont="1" applyFill="1" applyBorder="1"/>
    <xf numFmtId="166" fontId="1" fillId="2" borderId="12" xfId="0" applyNumberFormat="1" applyFont="1" applyFill="1" applyBorder="1"/>
    <xf numFmtId="0" fontId="0" fillId="10" borderId="11" xfId="0" applyFill="1" applyBorder="1"/>
    <xf numFmtId="166" fontId="0" fillId="10" borderId="11" xfId="0" applyNumberFormat="1" applyFill="1" applyBorder="1"/>
    <xf numFmtId="49" fontId="0" fillId="10" borderId="11" xfId="0" applyNumberFormat="1" applyFill="1" applyBorder="1"/>
    <xf numFmtId="49" fontId="1" fillId="2" borderId="12" xfId="0" applyNumberFormat="1" applyFont="1" applyFill="1" applyBorder="1"/>
    <xf numFmtId="49" fontId="0" fillId="0" borderId="0" xfId="0" applyNumberFormat="1"/>
    <xf numFmtId="14" fontId="1" fillId="2" borderId="12" xfId="0" applyNumberFormat="1" applyFont="1" applyFill="1" applyBorder="1"/>
    <xf numFmtId="14" fontId="0" fillId="10" borderId="11" xfId="0" applyNumberFormat="1" applyFill="1" applyBorder="1"/>
    <xf numFmtId="14" fontId="0" fillId="0" borderId="0" xfId="0" applyNumberFormat="1"/>
    <xf numFmtId="0" fontId="0" fillId="0" borderId="13" xfId="0" applyBorder="1"/>
    <xf numFmtId="49" fontId="0" fillId="0" borderId="13" xfId="0" applyNumberFormat="1" applyBorder="1" applyAlignment="1">
      <alignment horizontal="center"/>
    </xf>
    <xf numFmtId="0" fontId="0" fillId="11" borderId="11" xfId="0" applyFill="1" applyBorder="1" applyProtection="1">
      <protection locked="0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0" fontId="7" fillId="0" borderId="21" xfId="0" applyFont="1" applyBorder="1"/>
    <xf numFmtId="0" fontId="7" fillId="0" borderId="7" xfId="0" applyFont="1" applyBorder="1"/>
    <xf numFmtId="0" fontId="7" fillId="0" borderId="6" xfId="0" applyFont="1" applyBorder="1"/>
    <xf numFmtId="0" fontId="7" fillId="0" borderId="22" xfId="0" applyFont="1" applyBorder="1"/>
    <xf numFmtId="0" fontId="7" fillId="0" borderId="5" xfId="0" applyFont="1" applyBorder="1"/>
    <xf numFmtId="0" fontId="7" fillId="0" borderId="0" xfId="0" applyFont="1"/>
    <xf numFmtId="0" fontId="7" fillId="0" borderId="4" xfId="0" applyFont="1" applyBorder="1"/>
    <xf numFmtId="0" fontId="8" fillId="0" borderId="4" xfId="0" applyFont="1" applyBorder="1"/>
    <xf numFmtId="0" fontId="7" fillId="0" borderId="8" xfId="0" applyFont="1" applyBorder="1"/>
    <xf numFmtId="0" fontId="8" fillId="0" borderId="6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21" xfId="0" applyFont="1" applyBorder="1"/>
    <xf numFmtId="0" fontId="7" fillId="0" borderId="23" xfId="0" applyFont="1" applyBorder="1"/>
    <xf numFmtId="0" fontId="7" fillId="0" borderId="24" xfId="0" applyFont="1" applyBorder="1" applyAlignment="1">
      <alignment horizontal="center"/>
    </xf>
    <xf numFmtId="0" fontId="7" fillId="0" borderId="26" xfId="0" applyFont="1" applyBorder="1"/>
    <xf numFmtId="0" fontId="7" fillId="0" borderId="13" xfId="0" applyFont="1" applyBorder="1" applyAlignment="1">
      <alignment horizontal="center"/>
    </xf>
    <xf numFmtId="0" fontId="9" fillId="0" borderId="26" xfId="0" applyFont="1" applyBorder="1"/>
    <xf numFmtId="0" fontId="9" fillId="0" borderId="13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9" fillId="0" borderId="27" xfId="0" applyFont="1" applyBorder="1"/>
    <xf numFmtId="0" fontId="10" fillId="0" borderId="29" xfId="0" applyFont="1" applyBorder="1" applyAlignment="1">
      <alignment horizontal="center" vertical="center"/>
    </xf>
    <xf numFmtId="0" fontId="9" fillId="0" borderId="30" xfId="0" applyFont="1" applyBorder="1"/>
    <xf numFmtId="0" fontId="9" fillId="0" borderId="31" xfId="0" applyFont="1" applyBorder="1"/>
    <xf numFmtId="0" fontId="9" fillId="0" borderId="32" xfId="0" applyFont="1" applyBorder="1"/>
    <xf numFmtId="0" fontId="11" fillId="0" borderId="33" xfId="0" applyFont="1" applyBorder="1"/>
    <xf numFmtId="0" fontId="12" fillId="0" borderId="34" xfId="0" applyFont="1" applyBorder="1" applyAlignment="1">
      <alignment horizontal="center"/>
    </xf>
    <xf numFmtId="0" fontId="9" fillId="0" borderId="35" xfId="0" applyFont="1" applyBorder="1"/>
    <xf numFmtId="0" fontId="9" fillId="0" borderId="24" xfId="0" applyFont="1" applyBorder="1"/>
    <xf numFmtId="0" fontId="9" fillId="0" borderId="24" xfId="0" applyFont="1" applyBorder="1" applyAlignment="1">
      <alignment horizontal="center"/>
    </xf>
    <xf numFmtId="0" fontId="9" fillId="0" borderId="25" xfId="0" applyFont="1" applyBorder="1"/>
    <xf numFmtId="0" fontId="9" fillId="0" borderId="13" xfId="0" applyFont="1" applyBorder="1"/>
    <xf numFmtId="0" fontId="8" fillId="0" borderId="8" xfId="0" applyFont="1" applyBorder="1"/>
    <xf numFmtId="0" fontId="8" fillId="0" borderId="7" xfId="0" applyFont="1" applyBorder="1"/>
    <xf numFmtId="0" fontId="7" fillId="0" borderId="3" xfId="0" applyFont="1" applyBorder="1"/>
    <xf numFmtId="0" fontId="7" fillId="0" borderId="2" xfId="0" applyFont="1" applyBorder="1"/>
    <xf numFmtId="0" fontId="14" fillId="0" borderId="33" xfId="0" applyFont="1" applyBorder="1"/>
    <xf numFmtId="0" fontId="8" fillId="0" borderId="34" xfId="0" applyFont="1" applyBorder="1" applyAlignment="1">
      <alignment horizontal="center"/>
    </xf>
    <xf numFmtId="0" fontId="8" fillId="0" borderId="35" xfId="0" applyFont="1" applyBorder="1"/>
    <xf numFmtId="0" fontId="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6" fillId="0" borderId="0" xfId="0" applyFont="1"/>
    <xf numFmtId="14" fontId="7" fillId="0" borderId="0" xfId="0" applyNumberFormat="1" applyFont="1"/>
    <xf numFmtId="0" fontId="17" fillId="0" borderId="0" xfId="0" applyFont="1"/>
    <xf numFmtId="0" fontId="7" fillId="0" borderId="42" xfId="0" applyFont="1" applyBorder="1"/>
    <xf numFmtId="0" fontId="7" fillId="0" borderId="43" xfId="0" applyFont="1" applyBorder="1"/>
    <xf numFmtId="0" fontId="7" fillId="0" borderId="44" xfId="0" applyFont="1" applyBorder="1"/>
    <xf numFmtId="0" fontId="7" fillId="0" borderId="12" xfId="0" applyFont="1" applyBorder="1" applyAlignment="1">
      <alignment horizontal="center"/>
    </xf>
    <xf numFmtId="0" fontId="7" fillId="0" borderId="45" xfId="0" applyFont="1" applyBorder="1"/>
    <xf numFmtId="0" fontId="9" fillId="0" borderId="21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31" xfId="0" applyFont="1" applyBorder="1"/>
    <xf numFmtId="0" fontId="7" fillId="0" borderId="28" xfId="0" applyFont="1" applyBorder="1" applyAlignment="1">
      <alignment horizontal="center"/>
    </xf>
    <xf numFmtId="0" fontId="7" fillId="0" borderId="27" xfId="0" applyFont="1" applyBorder="1"/>
    <xf numFmtId="0" fontId="7" fillId="0" borderId="13" xfId="0" applyFont="1" applyBorder="1"/>
    <xf numFmtId="0" fontId="7" fillId="0" borderId="25" xfId="0" applyFont="1" applyBorder="1"/>
    <xf numFmtId="0" fontId="7" fillId="0" borderId="24" xfId="0" applyFont="1" applyBorder="1"/>
    <xf numFmtId="0" fontId="7" fillId="0" borderId="35" xfId="0" applyFont="1" applyBorder="1"/>
    <xf numFmtId="0" fontId="7" fillId="0" borderId="34" xfId="0" applyFont="1" applyBorder="1"/>
    <xf numFmtId="0" fontId="7" fillId="0" borderId="13" xfId="0" applyFont="1" applyBorder="1" applyAlignment="1">
      <alignment horizontal="center" vertical="center"/>
    </xf>
    <xf numFmtId="0" fontId="7" fillId="0" borderId="28" xfId="0" applyFont="1" applyBorder="1"/>
    <xf numFmtId="0" fontId="7" fillId="0" borderId="29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/>
    </xf>
    <xf numFmtId="14" fontId="0" fillId="8" borderId="11" xfId="0" applyNumberFormat="1" applyFill="1" applyBorder="1" applyProtection="1">
      <protection locked="0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0" fillId="0" borderId="0" xfId="0" applyFont="1"/>
    <xf numFmtId="0" fontId="10" fillId="0" borderId="7" xfId="0" applyFont="1" applyBorder="1"/>
    <xf numFmtId="0" fontId="10" fillId="0" borderId="6" xfId="0" applyFont="1" applyBorder="1"/>
    <xf numFmtId="0" fontId="10" fillId="0" borderId="22" xfId="0" applyFont="1" applyBorder="1"/>
    <xf numFmtId="0" fontId="0" fillId="0" borderId="14" xfId="0" applyBorder="1"/>
    <xf numFmtId="0" fontId="10" fillId="0" borderId="18" xfId="0" applyFont="1" applyBorder="1"/>
    <xf numFmtId="0" fontId="10" fillId="0" borderId="19" xfId="0" applyFont="1" applyBorder="1"/>
    <xf numFmtId="0" fontId="10" fillId="0" borderId="20" xfId="0" applyFont="1" applyBorder="1"/>
    <xf numFmtId="0" fontId="10" fillId="0" borderId="21" xfId="0" applyFont="1" applyBorder="1"/>
    <xf numFmtId="0" fontId="20" fillId="0" borderId="6" xfId="0" applyFont="1" applyBorder="1"/>
    <xf numFmtId="0" fontId="10" fillId="0" borderId="5" xfId="0" applyFont="1" applyBorder="1"/>
    <xf numFmtId="0" fontId="10" fillId="0" borderId="4" xfId="0" applyFont="1" applyBorder="1"/>
    <xf numFmtId="0" fontId="20" fillId="0" borderId="4" xfId="0" applyFont="1" applyBorder="1"/>
    <xf numFmtId="0" fontId="10" fillId="0" borderId="8" xfId="0" applyFont="1" applyBorder="1"/>
    <xf numFmtId="0" fontId="20" fillId="0" borderId="21" xfId="0" applyFont="1" applyBorder="1"/>
    <xf numFmtId="0" fontId="10" fillId="0" borderId="2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/>
    <xf numFmtId="0" fontId="10" fillId="0" borderId="7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7" xfId="0" applyFont="1" applyBorder="1"/>
    <xf numFmtId="0" fontId="20" fillId="0" borderId="19" xfId="0" applyFont="1" applyBorder="1"/>
    <xf numFmtId="0" fontId="20" fillId="0" borderId="20" xfId="0" applyFont="1" applyBorder="1"/>
    <xf numFmtId="0" fontId="10" fillId="0" borderId="28" xfId="0" applyFont="1" applyBorder="1" applyAlignment="1">
      <alignment horizontal="center"/>
    </xf>
    <xf numFmtId="0" fontId="10" fillId="0" borderId="13" xfId="0" applyFont="1" applyBorder="1"/>
    <xf numFmtId="0" fontId="10" fillId="0" borderId="31" xfId="0" applyFont="1" applyBorder="1"/>
    <xf numFmtId="0" fontId="10" fillId="0" borderId="34" xfId="0" applyFont="1" applyBorder="1"/>
    <xf numFmtId="0" fontId="5" fillId="0" borderId="33" xfId="0" applyFont="1" applyBorder="1"/>
    <xf numFmtId="0" fontId="20" fillId="0" borderId="34" xfId="0" applyFont="1" applyBorder="1" applyAlignment="1">
      <alignment horizontal="center"/>
    </xf>
    <xf numFmtId="0" fontId="10" fillId="0" borderId="35" xfId="0" applyFont="1" applyBorder="1"/>
    <xf numFmtId="0" fontId="10" fillId="0" borderId="24" xfId="0" applyFont="1" applyBorder="1"/>
    <xf numFmtId="0" fontId="20" fillId="0" borderId="8" xfId="0" applyFont="1" applyBorder="1"/>
    <xf numFmtId="0" fontId="20" fillId="0" borderId="7" xfId="0" applyFont="1" applyBorder="1"/>
    <xf numFmtId="0" fontId="10" fillId="0" borderId="3" xfId="0" applyFont="1" applyBorder="1"/>
    <xf numFmtId="0" fontId="10" fillId="0" borderId="2" xfId="0" applyFont="1" applyBorder="1"/>
    <xf numFmtId="0" fontId="20" fillId="0" borderId="35" xfId="0" applyFont="1" applyBorder="1"/>
    <xf numFmtId="0" fontId="1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10" fillId="0" borderId="0" xfId="0" applyNumberFormat="1" applyFont="1"/>
    <xf numFmtId="0" fontId="23" fillId="0" borderId="0" xfId="0" applyFont="1"/>
    <xf numFmtId="0" fontId="10" fillId="0" borderId="42" xfId="0" applyFont="1" applyBorder="1"/>
    <xf numFmtId="0" fontId="10" fillId="0" borderId="43" xfId="0" applyFont="1" applyBorder="1"/>
    <xf numFmtId="0" fontId="10" fillId="0" borderId="44" xfId="0" applyFont="1" applyBorder="1"/>
    <xf numFmtId="0" fontId="10" fillId="0" borderId="26" xfId="0" applyFont="1" applyBorder="1"/>
    <xf numFmtId="0" fontId="10" fillId="0" borderId="23" xfId="0" applyFont="1" applyBorder="1"/>
    <xf numFmtId="0" fontId="10" fillId="0" borderId="6" xfId="0" applyFont="1" applyBorder="1" applyAlignment="1">
      <alignment horizontal="center"/>
    </xf>
    <xf numFmtId="0" fontId="10" fillId="0" borderId="46" xfId="0" applyFont="1" applyBorder="1" applyAlignment="1">
      <alignment horizontal="center"/>
    </xf>
    <xf numFmtId="0" fontId="9" fillId="0" borderId="51" xfId="0" applyFont="1" applyBorder="1"/>
    <xf numFmtId="0" fontId="10" fillId="0" borderId="45" xfId="0" applyFont="1" applyBorder="1"/>
    <xf numFmtId="0" fontId="20" fillId="0" borderId="0" xfId="0" applyFont="1"/>
    <xf numFmtId="0" fontId="10" fillId="0" borderId="52" xfId="0" applyFont="1" applyBorder="1"/>
    <xf numFmtId="0" fontId="10" fillId="0" borderId="13" xfId="0" applyFont="1" applyBorder="1" applyAlignment="1">
      <alignment horizontal="left"/>
    </xf>
    <xf numFmtId="0" fontId="10" fillId="0" borderId="28" xfId="0" applyFont="1" applyBorder="1" applyAlignment="1">
      <alignment horizontal="center" vertical="center"/>
    </xf>
    <xf numFmtId="2" fontId="10" fillId="0" borderId="28" xfId="0" applyNumberFormat="1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/>
    </xf>
    <xf numFmtId="2" fontId="10" fillId="0" borderId="13" xfId="0" applyNumberFormat="1" applyFont="1" applyBorder="1" applyAlignment="1">
      <alignment horizontal="center"/>
    </xf>
    <xf numFmtId="0" fontId="26" fillId="0" borderId="31" xfId="0" applyFont="1" applyBorder="1"/>
    <xf numFmtId="0" fontId="26" fillId="0" borderId="27" xfId="0" applyFont="1" applyBorder="1"/>
    <xf numFmtId="0" fontId="10" fillId="10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4" fontId="0" fillId="7" borderId="0" xfId="2" applyFont="1" applyFill="1" applyBorder="1"/>
    <xf numFmtId="0" fontId="9" fillId="0" borderId="23" xfId="0" applyFont="1" applyBorder="1" applyAlignment="1">
      <alignment horizontal="center"/>
    </xf>
    <xf numFmtId="0" fontId="13" fillId="0" borderId="16" xfId="0" applyFont="1" applyBorder="1"/>
    <xf numFmtId="0" fontId="13" fillId="0" borderId="36" xfId="0" applyFont="1" applyBorder="1"/>
    <xf numFmtId="0" fontId="16" fillId="12" borderId="0" xfId="0" applyFont="1" applyFill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13" fillId="0" borderId="7" xfId="0" applyFont="1" applyBorder="1"/>
    <xf numFmtId="0" fontId="13" fillId="0" borderId="37" xfId="0" applyFont="1" applyBorder="1"/>
    <xf numFmtId="0" fontId="14" fillId="0" borderId="0" xfId="0" applyFont="1" applyAlignment="1">
      <alignment horizontal="center"/>
    </xf>
    <xf numFmtId="0" fontId="6" fillId="0" borderId="0" xfId="0" applyFont="1"/>
    <xf numFmtId="0" fontId="8" fillId="0" borderId="13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21" xfId="0" applyFont="1" applyBorder="1"/>
    <xf numFmtId="0" fontId="6" fillId="0" borderId="20" xfId="0" applyFont="1" applyBorder="1"/>
    <xf numFmtId="0" fontId="6" fillId="0" borderId="19" xfId="0" applyFont="1" applyBorder="1"/>
    <xf numFmtId="0" fontId="15" fillId="0" borderId="13" xfId="0" applyFont="1" applyBorder="1"/>
    <xf numFmtId="0" fontId="8" fillId="0" borderId="41" xfId="0" applyFont="1" applyBorder="1" applyAlignment="1">
      <alignment horizontal="center"/>
    </xf>
    <xf numFmtId="0" fontId="6" fillId="0" borderId="33" xfId="0" applyFont="1" applyBorder="1"/>
    <xf numFmtId="0" fontId="6" fillId="0" borderId="41" xfId="0" applyFont="1" applyBorder="1"/>
    <xf numFmtId="0" fontId="8" fillId="0" borderId="8" xfId="0" applyFont="1" applyBorder="1" applyAlignment="1">
      <alignment horizontal="center"/>
    </xf>
    <xf numFmtId="0" fontId="6" fillId="0" borderId="7" xfId="0" applyFont="1" applyBorder="1"/>
    <xf numFmtId="0" fontId="6" fillId="0" borderId="8" xfId="0" applyFont="1" applyBorder="1"/>
    <xf numFmtId="0" fontId="7" fillId="0" borderId="26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6" fillId="0" borderId="16" xfId="0" applyFont="1" applyBorder="1"/>
    <xf numFmtId="0" fontId="6" fillId="0" borderId="48" xfId="0" applyFont="1" applyBorder="1"/>
    <xf numFmtId="0" fontId="7" fillId="0" borderId="40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22" fillId="1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/>
    <xf numFmtId="0" fontId="20" fillId="0" borderId="13" xfId="0" applyFont="1" applyBorder="1"/>
    <xf numFmtId="0" fontId="0" fillId="0" borderId="2" xfId="0" applyBorder="1"/>
    <xf numFmtId="0" fontId="0" fillId="0" borderId="3" xfId="0" applyBorder="1"/>
    <xf numFmtId="0" fontId="0" fillId="0" borderId="21" xfId="0" applyBorder="1"/>
    <xf numFmtId="0" fontId="0" fillId="0" borderId="20" xfId="0" applyBorder="1"/>
    <xf numFmtId="0" fontId="0" fillId="0" borderId="19" xfId="0" applyBorder="1"/>
    <xf numFmtId="0" fontId="21" fillId="0" borderId="13" xfId="0" applyFont="1" applyBorder="1"/>
    <xf numFmtId="0" fontId="20" fillId="0" borderId="41" xfId="0" applyFont="1" applyBorder="1" applyAlignment="1">
      <alignment horizontal="center"/>
    </xf>
    <xf numFmtId="0" fontId="0" fillId="0" borderId="33" xfId="0" applyBorder="1"/>
    <xf numFmtId="0" fontId="0" fillId="0" borderId="41" xfId="0" applyBorder="1"/>
    <xf numFmtId="0" fontId="20" fillId="0" borderId="8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2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0" fillId="0" borderId="16" xfId="0" applyBorder="1"/>
    <xf numFmtId="0" fontId="0" fillId="0" borderId="48" xfId="0" applyBorder="1"/>
    <xf numFmtId="0" fontId="10" fillId="0" borderId="49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47" xfId="0" applyFont="1" applyBorder="1" applyAlignment="1">
      <alignment horizontal="center"/>
    </xf>
  </cellXfs>
  <cellStyles count="3">
    <cellStyle name="Currency" xfId="2" builtinId="4"/>
    <cellStyle name="Currency 9" xfId="1" xr:uid="{00000000-0005-0000-0000-000001000000}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65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2</xdr:row>
          <xdr:rowOff>0</xdr:rowOff>
        </xdr:from>
        <xdr:to>
          <xdr:col>15</xdr:col>
          <xdr:colOff>177800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704850</xdr:colOff>
          <xdr:row>2</xdr:row>
          <xdr:rowOff>0</xdr:rowOff>
        </xdr:from>
        <xdr:to>
          <xdr:col>14</xdr:col>
          <xdr:colOff>419100</xdr:colOff>
          <xdr:row>3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838200</xdr:colOff>
          <xdr:row>2</xdr:row>
          <xdr:rowOff>0</xdr:rowOff>
        </xdr:from>
        <xdr:to>
          <xdr:col>14</xdr:col>
          <xdr:colOff>139700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2</xdr:row>
          <xdr:rowOff>0</xdr:rowOff>
        </xdr:from>
        <xdr:to>
          <xdr:col>15</xdr:col>
          <xdr:colOff>177800</xdr:colOff>
          <xdr:row>3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520700</xdr:colOff>
          <xdr:row>2</xdr:row>
          <xdr:rowOff>6350</xdr:rowOff>
        </xdr:from>
        <xdr:to>
          <xdr:col>14</xdr:col>
          <xdr:colOff>241300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6350</xdr:colOff>
          <xdr:row>2</xdr:row>
          <xdr:rowOff>0</xdr:rowOff>
        </xdr:from>
        <xdr:to>
          <xdr:col>15</xdr:col>
          <xdr:colOff>184150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</xdr:colOff>
          <xdr:row>2</xdr:row>
          <xdr:rowOff>0</xdr:rowOff>
        </xdr:from>
        <xdr:to>
          <xdr:col>14</xdr:col>
          <xdr:colOff>190500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393700</xdr:colOff>
      <xdr:row>34</xdr:row>
      <xdr:rowOff>190500</xdr:rowOff>
    </xdr:from>
    <xdr:ext cx="1551940" cy="906462"/>
    <xdr:pic>
      <xdr:nvPicPr>
        <xdr:cNvPr id="2" name="Picture 1">
          <a:extLst>
            <a:ext uri="{FF2B5EF4-FFF2-40B4-BE49-F238E27FC236}">
              <a16:creationId xmlns:a16="http://schemas.microsoft.com/office/drawing/2014/main" id="{4DD884AC-B5BF-49D2-87FE-831712EC51DA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70500" y="6076950"/>
          <a:ext cx="1551940" cy="906462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215900</xdr:colOff>
          <xdr:row>8</xdr:row>
          <xdr:rowOff>152400</xdr:rowOff>
        </xdr:from>
        <xdr:to>
          <xdr:col>17</xdr:col>
          <xdr:colOff>101600</xdr:colOff>
          <xdr:row>13</xdr:row>
          <xdr:rowOff>215900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14D252-CD59-4A3C-AAE2-5E3DD46CB536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04750" y="8864600"/>
          <a:ext cx="1551940" cy="9112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37</xdr:row>
      <xdr:rowOff>190500</xdr:rowOff>
    </xdr:from>
    <xdr:to>
      <xdr:col>9</xdr:col>
      <xdr:colOff>1945640</xdr:colOff>
      <xdr:row>40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7FF7BF-54DD-48D1-BDF5-F24B1454AEBB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04750" y="8864600"/>
          <a:ext cx="1551940" cy="9112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393700</xdr:colOff>
      <xdr:row>32</xdr:row>
      <xdr:rowOff>190500</xdr:rowOff>
    </xdr:from>
    <xdr:ext cx="1551940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28DE39BB-0ED6-42D2-AED3-F1D446DE28E7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F2E67F-A8C2-4B03-B439-892610C538B0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047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23FE39-45B4-4166-813A-E522DCFFBA19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23661C-CB89-4E5E-AD8E-60D7E106CDC6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30434E-10DA-4A5B-B932-F5E043E3B2AA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A0FA5D-151E-404A-811F-C59DCC257A2F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046ACB-1C98-465A-B4D4-18E27A359220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1FA28C-8561-4544-A85E-F47AA1534F31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32</xdr:row>
      <xdr:rowOff>190500</xdr:rowOff>
    </xdr:from>
    <xdr:to>
      <xdr:col>9</xdr:col>
      <xdr:colOff>1945640</xdr:colOff>
      <xdr:row>35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B66BA5-439C-4B6F-889E-C1AE4AD64C5B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8445500"/>
          <a:ext cx="1551940" cy="91122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DFDB93-20DE-4E94-915E-F06032526FED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1AAA89-0BDE-43B0-99A4-3C3F54741F73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019F44-1AA4-4FD3-BB48-70F6FC2CCD3C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F9031F-71F3-4428-BB24-4F9DA3DA6967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0748F6-D3BB-46F7-8AA2-555100B6ADDF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05AAC-D2A7-44E4-A3DC-B14132B2D3B1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9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BC24E3-77BF-4DE6-826A-1AE3791E8FC4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A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20631B-6C3B-4DE0-AEDD-6E286CC3F018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761146-152B-4D21-85D5-C7870FE23083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4AAF43-A222-4A92-A89C-E3119EDD5908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54EE98-598D-44E2-8ABF-9A18A94B0D25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D7DB3C-7CBD-4A08-8E7A-BE96E795144B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F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17017A-528C-4E2D-BB6E-22413AFB1468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F6A0A-6C12-4276-9336-67FF230BAD45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784490-8F64-4C98-860C-92F3587AC0F4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BD20F1-2860-4F75-980A-74918B034911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4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393700</xdr:colOff>
      <xdr:row>34</xdr:row>
      <xdr:rowOff>190500</xdr:rowOff>
    </xdr:from>
    <xdr:ext cx="1551940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4CF9F750-786A-4C0E-B530-2D235718128E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0100" y="6445250"/>
          <a:ext cx="1551940" cy="911225"/>
        </a:xfrm>
        <a:prstGeom prst="rect">
          <a:avLst/>
        </a:prstGeom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717826-50DA-4CC1-8E0E-64D708F6BD93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8DECE7-F7A2-4115-B4F1-56C150C6B236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6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A94896-064D-4448-9F4B-AF3DAFF82A3E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7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78C60D-AC7B-4353-8747-FFE178F0EC4D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8203E5-1100-4D9C-B520-4B926960B77E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F947E9-8EA7-44AD-B2F4-F0BB270A8582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A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393700</xdr:colOff>
      <xdr:row>34</xdr:row>
      <xdr:rowOff>190500</xdr:rowOff>
    </xdr:from>
    <xdr:ext cx="1551940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26FDE612-A898-443C-A5BD-E7D13FD75279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0100" y="6445250"/>
          <a:ext cx="1551940" cy="911225"/>
        </a:xfrm>
        <a:prstGeom prst="rect">
          <a:avLst/>
        </a:prstGeom>
      </xdr:spPr>
    </xdr:pic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E5498C-8E7D-4ACF-9109-B38B0E725830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0C92C6-D5B0-4C57-BC18-7C9D7C12FF8C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D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29CDDA-C933-4BE6-A406-12A82E84C47C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E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C8514C-53AB-426C-9EC3-B5BC83F93BEF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F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251CC-BC89-4A39-8637-53DEAF1D3D0C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3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A9C7F0-5330-4880-964B-0967C1A2A08B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31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C65DAB-FA10-4572-B23F-A5D53EA7C288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3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84DA6-2AE4-44B0-ACA0-CBE0E0B8323A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3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E3BFE8-7BA5-4510-BB8A-7F5E21879FE0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3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CACEAD-805F-48C4-B491-74D27D30DFFA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3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0CA311-3951-4017-B4D8-EDF53666DCA3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A556E9-DE6D-4EE9-A034-6DFFC93C57AB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3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20C92-E412-47D5-8838-1EB20D1AE3E4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8</xdr:row>
          <xdr:rowOff>152400</xdr:rowOff>
        </xdr:from>
        <xdr:to>
          <xdr:col>19</xdr:col>
          <xdr:colOff>38100</xdr:colOff>
          <xdr:row>13</xdr:row>
          <xdr:rowOff>215900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38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AU" sz="2200" b="1" i="0" u="none" strike="noStrike" baseline="0">
                  <a:solidFill>
                    <a:srgbClr val="00FF00"/>
                  </a:solidFill>
                  <a:latin typeface="Calibri"/>
                  <a:ea typeface="Calibri"/>
                  <a:cs typeface="Calibri"/>
                </a:rPr>
                <a:t>Save &amp; Send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393700</xdr:colOff>
      <xdr:row>34</xdr:row>
      <xdr:rowOff>190500</xdr:rowOff>
    </xdr:from>
    <xdr:to>
      <xdr:col>9</xdr:col>
      <xdr:colOff>1945640</xdr:colOff>
      <xdr:row>37</xdr:row>
      <xdr:rowOff>263525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B36F3F-5EA1-40DC-9A6F-68322116EA01}"/>
            </a:ext>
            <a:ext uri="{147F2762-F138-4A5C-976F-8EAC2B608ADB}">
              <a16:predDERef xmlns:a16="http://schemas.microsoft.com/office/drawing/2014/main" pred="{797221AE-E374-4A4F-A630-E78BAB58F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9004300"/>
          <a:ext cx="1551940" cy="9112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ydac.sharepoint.com/Shared%20Documents/Rirratjingu%20Enterprises%20Documents/POND%206%20SOUTH%20-%20Benthic%20Removal/Reporting%20Data%20and%20Dayworks/Pond%206S%20Signed%20Dayworks%20sheets/Claims%20Workbook%20-%20Pond%206%20South%20-%20INTEGRATED%20DAYWORKS%20+%20SI%20+%20OPERATORS%20New%20version.xlsm" TargetMode="External"/><Relationship Id="rId2" Type="http://schemas.microsoft.com/office/2019/04/relationships/externalLinkLongPath" Target="https://ydac.sharepoint.com/Shared%20Documents/Rirratjingu%20Enterprises%20Documents/POND%206%20SOUTH%20-%20Benthic%20Removal/Reporting%20Data%20and%20Dayworks/Pond%206S%20Signed%20Dayworks%20sheets/Claims%20Workbook%20-%20Pond%206%20South%20-%20INTEGRATED%20DAYWORKS%20+%20SI%20+%20OPERATORS%20New%20version.xlsm?D432C8E9" TargetMode="External"/><Relationship Id="rId1" Type="http://schemas.openxmlformats.org/officeDocument/2006/relationships/externalLinkPath" Target="file:///\\D432C8E9\Claims%20Workbook%20-%20Pond%206%20South%20-%20INTEGRATED%20DAYWORKS%20+%20SI%20+%20OPERATORS%20New%20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18 Jan 26    "/>
      <sheetName val="17 Jan 26   "/>
      <sheetName val="16 Jan 26  "/>
      <sheetName val="15 Jan 26   "/>
      <sheetName val="14 Jan 26  "/>
      <sheetName val="13 Jan 26 "/>
      <sheetName val="12 Jan 26"/>
      <sheetName val="11 Jan 26"/>
      <sheetName val="10 Jan 26"/>
      <sheetName val="9 Jan 26"/>
      <sheetName val="8 Jan"/>
      <sheetName val="7 Jan"/>
      <sheetName val="6 Jan 26"/>
      <sheetName val="5 Jan 26"/>
      <sheetName val="14 Dec 25 "/>
      <sheetName val="13 Dec 25 "/>
      <sheetName val="Start Here"/>
      <sheetName val="Config"/>
      <sheetName val="Daily Log"/>
      <sheetName val="RE Rates"/>
      <sheetName val="Sitzler Rates"/>
      <sheetName val="Monthly Claim (Client)"/>
      <sheetName val="Monthly Claim (Sitzler)"/>
      <sheetName val="Site Instructions &amp; Variations"/>
      <sheetName val="Operators"/>
      <sheetName val="29 Sept"/>
      <sheetName val="30 Sept"/>
      <sheetName val="1 Oct 25"/>
      <sheetName val="2 Oct 25"/>
      <sheetName val="3 Oct 25"/>
      <sheetName val="4 Oct 25"/>
      <sheetName val="5 Oct 25"/>
      <sheetName val="6 Oct 25"/>
      <sheetName val="7 Oct 25"/>
      <sheetName val="8 Oct 25"/>
      <sheetName val="9 Oct 25"/>
      <sheetName val="10 Oct 25"/>
      <sheetName val="1 Nov 25 "/>
      <sheetName val="2 Nov 25"/>
      <sheetName val="3 Nov 25 "/>
      <sheetName val="3 Nov 25  (2)"/>
      <sheetName val="4 Nov 25 "/>
      <sheetName val="5 Nov 25 "/>
      <sheetName val="6 Nov 25 "/>
      <sheetName val="7 Nov 25  "/>
      <sheetName val="8 Nov 25  "/>
      <sheetName val="9 Nov 25  "/>
      <sheetName val="10 Nov 25   "/>
      <sheetName val="11 Nov 25  "/>
      <sheetName val="12 Nov 25 "/>
      <sheetName val="13 Nov 25  "/>
      <sheetName val="14 Nov 25  "/>
      <sheetName val="15 Nov 25  "/>
      <sheetName val="16 Nov 25   "/>
      <sheetName val="17 Nov 25 "/>
      <sheetName val="24 Nov 25  "/>
      <sheetName val="25 Nov 25"/>
      <sheetName val="28 Nov 25 "/>
      <sheetName val="12 Oct 25"/>
      <sheetName val="13 Oct 25"/>
      <sheetName val="14 Oct 25"/>
      <sheetName val="15 Oct 25"/>
      <sheetName val="16 Oct 25"/>
      <sheetName val="17 Oct 25"/>
      <sheetName val="18 Oct 25"/>
      <sheetName val="19 Oct 25"/>
      <sheetName val="20 Oct 25"/>
      <sheetName val="27 Oct 25 "/>
      <sheetName val="28 Oct 25 "/>
      <sheetName val="29 Oct 25 "/>
      <sheetName val="30 Oct 25 "/>
      <sheetName val="31 Oct 25 "/>
      <sheetName val="8 Dec 25"/>
      <sheetName val="9 Dec 25 "/>
      <sheetName val="10 Dec 25  "/>
      <sheetName val="11 Dec 25   "/>
      <sheetName val="12 Dec 25"/>
      <sheetName val="13 Dec 25"/>
      <sheetName val="SI Data"/>
      <sheetName val="Claims Workbook - Pond 6 South "/>
      <sheetName val="13 Dec 25 (2)"/>
      <sheetName val="7 Dec 25"/>
      <sheetName val="14 Dec 25"/>
    </sheetNames>
    <definedNames>
      <definedName name="Module1.SaveAndSend_Daywork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5"/>
  <sheetViews>
    <sheetView workbookViewId="0">
      <selection activeCell="A7" sqref="A7"/>
    </sheetView>
  </sheetViews>
  <sheetFormatPr defaultRowHeight="14.5" x14ac:dyDescent="0.35"/>
  <cols>
    <col min="1" max="1" width="36" customWidth="1"/>
    <col min="3" max="3" width="12.7265625" bestFit="1" customWidth="1"/>
  </cols>
  <sheetData>
    <row r="1" spans="1:3" x14ac:dyDescent="0.35">
      <c r="A1" s="1" t="s">
        <v>0</v>
      </c>
      <c r="C1" s="1" t="s">
        <v>1</v>
      </c>
    </row>
    <row r="2" spans="1:3" x14ac:dyDescent="0.35">
      <c r="A2" t="s">
        <v>2</v>
      </c>
      <c r="C2">
        <v>11</v>
      </c>
    </row>
    <row r="3" spans="1:3" x14ac:dyDescent="0.35">
      <c r="A3" t="s">
        <v>3</v>
      </c>
    </row>
    <row r="4" spans="1:3" x14ac:dyDescent="0.35">
      <c r="A4" t="s">
        <v>4</v>
      </c>
    </row>
    <row r="5" spans="1:3" x14ac:dyDescent="0.35">
      <c r="A5" t="s">
        <v>246</v>
      </c>
    </row>
    <row r="6" spans="1:3" x14ac:dyDescent="0.35">
      <c r="A6" t="s">
        <v>248</v>
      </c>
    </row>
    <row r="7" spans="1:3" x14ac:dyDescent="0.35">
      <c r="A7" t="s">
        <v>7</v>
      </c>
    </row>
    <row r="8" spans="1:3" x14ac:dyDescent="0.35">
      <c r="A8" t="s">
        <v>8</v>
      </c>
    </row>
    <row r="9" spans="1:3" x14ac:dyDescent="0.35">
      <c r="A9" t="s">
        <v>9</v>
      </c>
    </row>
    <row r="10" spans="1:3" x14ac:dyDescent="0.35">
      <c r="A10" t="s">
        <v>10</v>
      </c>
    </row>
    <row r="11" spans="1:3" x14ac:dyDescent="0.35">
      <c r="A11" t="s">
        <v>11</v>
      </c>
    </row>
    <row r="12" spans="1:3" x14ac:dyDescent="0.35">
      <c r="A12" t="s">
        <v>12</v>
      </c>
    </row>
    <row r="13" spans="1:3" x14ac:dyDescent="0.35">
      <c r="A13" t="s">
        <v>13</v>
      </c>
    </row>
    <row r="14" spans="1:3" x14ac:dyDescent="0.35">
      <c r="A14" t="s">
        <v>14</v>
      </c>
    </row>
    <row r="15" spans="1:3" x14ac:dyDescent="0.35">
      <c r="A15" t="s">
        <v>15</v>
      </c>
    </row>
    <row r="16" spans="1:3" x14ac:dyDescent="0.35">
      <c r="A16" t="s">
        <v>16</v>
      </c>
    </row>
    <row r="17" spans="1:1" x14ac:dyDescent="0.35">
      <c r="A17" t="s">
        <v>17</v>
      </c>
    </row>
    <row r="18" spans="1:1" x14ac:dyDescent="0.35">
      <c r="A18" t="s">
        <v>18</v>
      </c>
    </row>
    <row r="19" spans="1:1" x14ac:dyDescent="0.35">
      <c r="A19" t="s">
        <v>19</v>
      </c>
    </row>
    <row r="20" spans="1:1" x14ac:dyDescent="0.35">
      <c r="A20" t="s">
        <v>20</v>
      </c>
    </row>
    <row r="21" spans="1:1" x14ac:dyDescent="0.35">
      <c r="A21" s="2" t="s">
        <v>21</v>
      </c>
    </row>
    <row r="22" spans="1:1" x14ac:dyDescent="0.35">
      <c r="A22" s="2" t="s">
        <v>22</v>
      </c>
    </row>
    <row r="23" spans="1:1" x14ac:dyDescent="0.35">
      <c r="A23" s="2" t="str">
        <f>'Site Instructions &amp; Variations'!B2</f>
        <v>Wallaby Beach Accommodation</v>
      </c>
    </row>
    <row r="24" spans="1:1" x14ac:dyDescent="0.35">
      <c r="A24" t="s">
        <v>23</v>
      </c>
    </row>
    <row r="25" spans="1:1" x14ac:dyDescent="0.35">
      <c r="A25">
        <f>'Site Instructions &amp; Variations'!B4</f>
        <v>0</v>
      </c>
    </row>
  </sheetData>
  <phoneticPr fontId="4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ndSend_Dayworks">
                <anchor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177800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912"/>
  <sheetViews>
    <sheetView zoomScale="85" zoomScaleNormal="85" workbookViewId="0">
      <pane ySplit="1" topLeftCell="A453" activePane="bottomLeft" state="frozen"/>
      <selection activeCell="L41" sqref="L41"/>
      <selection pane="bottomLeft" activeCell="N305" sqref="N305"/>
    </sheetView>
  </sheetViews>
  <sheetFormatPr defaultColWidth="9.1796875" defaultRowHeight="14.5" x14ac:dyDescent="0.35"/>
  <cols>
    <col min="1" max="1" width="12" style="30" customWidth="1"/>
    <col min="2" max="2" width="36" style="30" customWidth="1"/>
    <col min="3" max="5" width="16" style="30" customWidth="1"/>
    <col min="6" max="6" width="23.08984375" style="30" bestFit="1" customWidth="1"/>
    <col min="7" max="7" width="12" style="30" customWidth="1"/>
    <col min="8" max="8" width="14" style="30" customWidth="1"/>
    <col min="9" max="9" width="12" style="30" customWidth="1"/>
    <col min="10" max="13" width="14" style="30" customWidth="1"/>
    <col min="14" max="14" width="10" style="30" customWidth="1"/>
    <col min="15" max="15" width="12" style="30" customWidth="1"/>
    <col min="16" max="16" width="49.453125" style="30" bestFit="1" customWidth="1"/>
    <col min="17" max="17" width="9.1796875" style="26"/>
    <col min="18" max="16384" width="9.1796875" style="25"/>
  </cols>
  <sheetData>
    <row r="1" spans="1:16" x14ac:dyDescent="0.35">
      <c r="A1" s="27" t="s">
        <v>24</v>
      </c>
      <c r="B1" s="27" t="s">
        <v>0</v>
      </c>
      <c r="C1" s="27" t="s">
        <v>25</v>
      </c>
      <c r="D1" s="27" t="s">
        <v>26</v>
      </c>
      <c r="E1" s="27" t="s">
        <v>27</v>
      </c>
      <c r="F1" s="28" t="s">
        <v>28</v>
      </c>
      <c r="G1" s="27" t="s">
        <v>29</v>
      </c>
      <c r="H1" s="27" t="s">
        <v>30</v>
      </c>
      <c r="I1" s="27" t="s">
        <v>31</v>
      </c>
      <c r="J1" s="27" t="s">
        <v>32</v>
      </c>
      <c r="K1" s="27" t="s">
        <v>33</v>
      </c>
      <c r="L1" s="27" t="s">
        <v>208</v>
      </c>
      <c r="M1" s="27" t="s">
        <v>209</v>
      </c>
      <c r="N1" s="27" t="s">
        <v>35</v>
      </c>
      <c r="O1" s="27" t="s">
        <v>36</v>
      </c>
      <c r="P1" s="27" t="s">
        <v>37</v>
      </c>
    </row>
    <row r="2" spans="1:16" x14ac:dyDescent="0.35">
      <c r="A2" s="29">
        <v>45962</v>
      </c>
      <c r="B2" s="30" t="s">
        <v>13</v>
      </c>
      <c r="C2" s="30">
        <v>11.5</v>
      </c>
      <c r="D2" s="30">
        <v>0</v>
      </c>
      <c r="E2" s="30">
        <v>0</v>
      </c>
    </row>
    <row r="3" spans="1:16" x14ac:dyDescent="0.35">
      <c r="A3" s="29">
        <v>45962</v>
      </c>
      <c r="B3" s="30" t="s">
        <v>14</v>
      </c>
      <c r="C3" s="30">
        <v>11.5</v>
      </c>
      <c r="D3" s="30">
        <v>0</v>
      </c>
      <c r="E3" s="30">
        <v>0</v>
      </c>
    </row>
    <row r="4" spans="1:16" x14ac:dyDescent="0.35">
      <c r="A4" s="29">
        <v>45962</v>
      </c>
      <c r="B4" s="30" t="s">
        <v>15</v>
      </c>
      <c r="C4" s="30">
        <v>11.5</v>
      </c>
      <c r="D4" s="30">
        <v>0</v>
      </c>
      <c r="E4" s="30">
        <v>0</v>
      </c>
    </row>
    <row r="5" spans="1:16" x14ac:dyDescent="0.35">
      <c r="A5" s="29">
        <v>45962</v>
      </c>
      <c r="B5" s="30" t="s">
        <v>17</v>
      </c>
      <c r="C5" s="30">
        <v>11.5</v>
      </c>
      <c r="D5" s="30">
        <v>0</v>
      </c>
      <c r="E5" s="30">
        <v>0</v>
      </c>
    </row>
    <row r="6" spans="1:16" x14ac:dyDescent="0.35">
      <c r="A6" s="29">
        <v>45962</v>
      </c>
      <c r="B6" s="30" t="s">
        <v>18</v>
      </c>
      <c r="C6" s="30">
        <v>11.5</v>
      </c>
      <c r="D6" s="30">
        <v>0</v>
      </c>
      <c r="E6" s="30">
        <v>0</v>
      </c>
    </row>
    <row r="7" spans="1:16" x14ac:dyDescent="0.35">
      <c r="A7" s="29">
        <v>45962</v>
      </c>
      <c r="B7" s="30" t="s">
        <v>4</v>
      </c>
      <c r="C7" s="30">
        <v>7.8</v>
      </c>
      <c r="D7" s="30">
        <v>3.2</v>
      </c>
      <c r="E7" s="30">
        <v>0</v>
      </c>
      <c r="F7" s="30">
        <v>0</v>
      </c>
      <c r="O7" s="30" t="s">
        <v>79</v>
      </c>
    </row>
    <row r="8" spans="1:16" x14ac:dyDescent="0.35">
      <c r="A8" s="29">
        <v>45962</v>
      </c>
      <c r="B8" s="30" t="s">
        <v>2</v>
      </c>
      <c r="C8" s="30">
        <v>7</v>
      </c>
      <c r="D8" s="30">
        <v>4</v>
      </c>
      <c r="E8" s="30">
        <v>0</v>
      </c>
      <c r="F8" s="30">
        <v>0</v>
      </c>
      <c r="O8" s="30" t="s">
        <v>79</v>
      </c>
    </row>
    <row r="9" spans="1:16" x14ac:dyDescent="0.35">
      <c r="A9" s="29">
        <v>45962</v>
      </c>
      <c r="B9" s="30" t="s">
        <v>3</v>
      </c>
      <c r="C9" s="30">
        <v>7</v>
      </c>
      <c r="D9" s="30">
        <v>4</v>
      </c>
      <c r="E9" s="30">
        <v>0</v>
      </c>
      <c r="F9" s="30">
        <v>0</v>
      </c>
      <c r="O9" s="30" t="s">
        <v>79</v>
      </c>
    </row>
    <row r="10" spans="1:16" x14ac:dyDescent="0.35">
      <c r="A10" s="29">
        <v>45962</v>
      </c>
      <c r="B10" s="30" t="s">
        <v>5</v>
      </c>
      <c r="C10" s="30">
        <v>0</v>
      </c>
      <c r="D10" s="30">
        <v>0</v>
      </c>
      <c r="E10" s="30">
        <v>11</v>
      </c>
      <c r="F10" s="30">
        <v>0</v>
      </c>
      <c r="O10" s="30" t="s">
        <v>38</v>
      </c>
    </row>
    <row r="11" spans="1:16" x14ac:dyDescent="0.35">
      <c r="A11" s="29">
        <v>45962</v>
      </c>
      <c r="B11" s="30" t="s">
        <v>6</v>
      </c>
      <c r="C11" s="30">
        <v>8.9</v>
      </c>
      <c r="D11" s="30">
        <v>2.0999999999999996</v>
      </c>
      <c r="E11" s="30">
        <v>0</v>
      </c>
      <c r="F11" s="30">
        <v>0</v>
      </c>
      <c r="O11" s="30" t="s">
        <v>79</v>
      </c>
    </row>
    <row r="12" spans="1:16" x14ac:dyDescent="0.35">
      <c r="A12" s="29">
        <v>45962</v>
      </c>
      <c r="B12" s="30" t="s">
        <v>8</v>
      </c>
      <c r="C12" s="30">
        <v>8</v>
      </c>
      <c r="D12" s="30">
        <v>3</v>
      </c>
      <c r="E12" s="30">
        <v>0</v>
      </c>
      <c r="F12" s="30">
        <v>0</v>
      </c>
      <c r="O12" s="30" t="s">
        <v>79</v>
      </c>
    </row>
    <row r="13" spans="1:16" x14ac:dyDescent="0.35">
      <c r="A13" s="29">
        <v>45962</v>
      </c>
      <c r="B13" s="30" t="s">
        <v>7</v>
      </c>
      <c r="C13" s="30">
        <v>1</v>
      </c>
      <c r="D13" s="30">
        <v>10</v>
      </c>
      <c r="E13" s="30">
        <v>0</v>
      </c>
      <c r="F13" s="30">
        <v>0</v>
      </c>
      <c r="O13" s="30" t="s">
        <v>79</v>
      </c>
    </row>
    <row r="14" spans="1:16" x14ac:dyDescent="0.35">
      <c r="A14" s="29">
        <v>45962</v>
      </c>
      <c r="B14" s="30" t="s">
        <v>9</v>
      </c>
      <c r="C14" s="30">
        <v>11</v>
      </c>
      <c r="D14" s="30">
        <v>0</v>
      </c>
      <c r="E14" s="30">
        <v>0</v>
      </c>
      <c r="F14" s="30">
        <v>0</v>
      </c>
    </row>
    <row r="15" spans="1:16" x14ac:dyDescent="0.35">
      <c r="A15" s="29">
        <v>45962</v>
      </c>
      <c r="B15" s="30" t="s">
        <v>10</v>
      </c>
      <c r="C15" s="30">
        <v>11</v>
      </c>
      <c r="D15" s="30">
        <v>0</v>
      </c>
      <c r="E15" s="30">
        <v>0</v>
      </c>
      <c r="F15" s="30">
        <v>0</v>
      </c>
    </row>
    <row r="16" spans="1:16" x14ac:dyDescent="0.35">
      <c r="A16" s="29">
        <v>45962</v>
      </c>
      <c r="B16" s="30" t="s">
        <v>11</v>
      </c>
      <c r="C16" s="30">
        <v>0</v>
      </c>
      <c r="D16" s="30">
        <v>0</v>
      </c>
      <c r="E16" s="30">
        <v>0</v>
      </c>
      <c r="F16" s="30">
        <v>0</v>
      </c>
    </row>
    <row r="17" spans="1:15" x14ac:dyDescent="0.35">
      <c r="A17" s="29">
        <v>45962</v>
      </c>
      <c r="B17" s="30" t="s">
        <v>21</v>
      </c>
      <c r="C17" s="30">
        <v>0</v>
      </c>
      <c r="D17" s="30">
        <v>0</v>
      </c>
      <c r="E17" s="30">
        <v>0</v>
      </c>
      <c r="F17" s="30">
        <v>1</v>
      </c>
    </row>
    <row r="18" spans="1:15" x14ac:dyDescent="0.35">
      <c r="A18" s="29">
        <v>45962</v>
      </c>
      <c r="B18" s="30" t="s">
        <v>22</v>
      </c>
      <c r="C18" s="30">
        <v>0</v>
      </c>
      <c r="D18" s="30">
        <v>0</v>
      </c>
      <c r="E18" s="30">
        <v>0</v>
      </c>
      <c r="F18" s="30">
        <v>1</v>
      </c>
    </row>
    <row r="19" spans="1:15" x14ac:dyDescent="0.35">
      <c r="A19" s="29">
        <v>45963</v>
      </c>
      <c r="B19" s="30" t="s">
        <v>13</v>
      </c>
      <c r="C19" s="30">
        <v>11.5</v>
      </c>
      <c r="D19" s="30">
        <v>0</v>
      </c>
      <c r="E19" s="30">
        <v>0</v>
      </c>
    </row>
    <row r="20" spans="1:15" x14ac:dyDescent="0.35">
      <c r="A20" s="29">
        <v>45963</v>
      </c>
      <c r="B20" s="30" t="s">
        <v>14</v>
      </c>
      <c r="C20" s="30">
        <v>11.5</v>
      </c>
      <c r="D20" s="30">
        <v>0</v>
      </c>
      <c r="E20" s="30">
        <v>0</v>
      </c>
    </row>
    <row r="21" spans="1:15" x14ac:dyDescent="0.35">
      <c r="A21" s="29">
        <v>45963</v>
      </c>
      <c r="B21" s="30" t="s">
        <v>15</v>
      </c>
      <c r="C21" s="30">
        <v>11.5</v>
      </c>
      <c r="D21" s="30">
        <v>0</v>
      </c>
      <c r="E21" s="30">
        <v>0</v>
      </c>
    </row>
    <row r="22" spans="1:15" x14ac:dyDescent="0.35">
      <c r="A22" s="29">
        <v>45963</v>
      </c>
      <c r="B22" s="30" t="s">
        <v>17</v>
      </c>
      <c r="C22" s="30">
        <v>11.5</v>
      </c>
      <c r="D22" s="30">
        <v>0</v>
      </c>
      <c r="E22" s="30">
        <v>0</v>
      </c>
    </row>
    <row r="23" spans="1:15" x14ac:dyDescent="0.35">
      <c r="A23" s="29">
        <v>45963</v>
      </c>
      <c r="B23" s="30" t="s">
        <v>18</v>
      </c>
      <c r="C23" s="30">
        <v>11.5</v>
      </c>
      <c r="D23" s="30">
        <v>0</v>
      </c>
      <c r="E23" s="30">
        <v>0</v>
      </c>
    </row>
    <row r="24" spans="1:15" x14ac:dyDescent="0.35">
      <c r="A24" s="29">
        <v>45963</v>
      </c>
      <c r="B24" s="30" t="s">
        <v>4</v>
      </c>
      <c r="C24" s="30">
        <v>2.1000000000003638</v>
      </c>
      <c r="D24" s="30">
        <v>8.8999999999996362</v>
      </c>
      <c r="E24" s="30">
        <v>0</v>
      </c>
      <c r="F24" s="30">
        <v>0</v>
      </c>
      <c r="O24" s="30" t="s">
        <v>79</v>
      </c>
    </row>
    <row r="25" spans="1:15" x14ac:dyDescent="0.35">
      <c r="A25" s="29">
        <v>45963</v>
      </c>
      <c r="B25" s="30" t="s">
        <v>2</v>
      </c>
      <c r="C25" s="30">
        <v>7</v>
      </c>
      <c r="D25" s="30">
        <v>4</v>
      </c>
      <c r="E25" s="30">
        <v>0</v>
      </c>
      <c r="F25" s="30">
        <v>0</v>
      </c>
      <c r="O25" s="30" t="s">
        <v>79</v>
      </c>
    </row>
    <row r="26" spans="1:15" x14ac:dyDescent="0.35">
      <c r="A26" s="29">
        <v>45963</v>
      </c>
      <c r="B26" s="30" t="s">
        <v>3</v>
      </c>
      <c r="C26" s="30">
        <v>8</v>
      </c>
      <c r="D26" s="30">
        <v>3</v>
      </c>
      <c r="E26" s="30">
        <v>0</v>
      </c>
      <c r="F26" s="30">
        <v>0</v>
      </c>
      <c r="O26" s="30" t="s">
        <v>79</v>
      </c>
    </row>
    <row r="27" spans="1:15" x14ac:dyDescent="0.35">
      <c r="A27" s="29">
        <v>45963</v>
      </c>
      <c r="B27" s="30" t="s">
        <v>5</v>
      </c>
      <c r="C27" s="30">
        <v>0</v>
      </c>
      <c r="D27" s="30">
        <v>0</v>
      </c>
      <c r="E27" s="30">
        <v>11</v>
      </c>
      <c r="F27" s="30">
        <v>0</v>
      </c>
      <c r="O27" s="30" t="s">
        <v>38</v>
      </c>
    </row>
    <row r="28" spans="1:15" x14ac:dyDescent="0.35">
      <c r="A28" s="29">
        <v>45963</v>
      </c>
      <c r="B28" s="30" t="s">
        <v>6</v>
      </c>
      <c r="C28" s="30">
        <v>8.5</v>
      </c>
      <c r="D28" s="30">
        <v>2.5</v>
      </c>
      <c r="E28" s="30">
        <v>0</v>
      </c>
      <c r="F28" s="30">
        <v>0</v>
      </c>
      <c r="O28" s="30" t="s">
        <v>79</v>
      </c>
    </row>
    <row r="29" spans="1:15" x14ac:dyDescent="0.35">
      <c r="A29" s="29">
        <v>45963</v>
      </c>
      <c r="B29" s="30" t="s">
        <v>8</v>
      </c>
      <c r="C29" s="30">
        <v>10</v>
      </c>
      <c r="D29" s="30">
        <v>1</v>
      </c>
      <c r="E29" s="30">
        <v>0</v>
      </c>
      <c r="F29" s="30">
        <v>0</v>
      </c>
      <c r="O29" s="30" t="s">
        <v>79</v>
      </c>
    </row>
    <row r="30" spans="1:15" x14ac:dyDescent="0.35">
      <c r="A30" s="29">
        <v>45963</v>
      </c>
      <c r="B30" s="30" t="s">
        <v>7</v>
      </c>
      <c r="C30" s="30">
        <v>1</v>
      </c>
      <c r="D30" s="30">
        <v>10</v>
      </c>
      <c r="E30" s="30">
        <v>0</v>
      </c>
      <c r="F30" s="30">
        <v>0</v>
      </c>
      <c r="O30" s="30" t="s">
        <v>79</v>
      </c>
    </row>
    <row r="31" spans="1:15" x14ac:dyDescent="0.35">
      <c r="A31" s="29">
        <v>45963</v>
      </c>
      <c r="B31" s="30" t="s">
        <v>9</v>
      </c>
      <c r="C31" s="30">
        <v>11</v>
      </c>
      <c r="D31" s="30">
        <v>0</v>
      </c>
      <c r="E31" s="30">
        <v>0</v>
      </c>
      <c r="F31" s="30">
        <v>0</v>
      </c>
    </row>
    <row r="32" spans="1:15" x14ac:dyDescent="0.35">
      <c r="A32" s="29">
        <v>45963</v>
      </c>
      <c r="B32" s="30" t="s">
        <v>10</v>
      </c>
      <c r="C32" s="30">
        <v>11</v>
      </c>
      <c r="D32" s="30">
        <v>0</v>
      </c>
      <c r="E32" s="30">
        <v>0</v>
      </c>
      <c r="F32" s="30">
        <v>0</v>
      </c>
    </row>
    <row r="33" spans="1:15" x14ac:dyDescent="0.35">
      <c r="A33" s="29">
        <v>45963</v>
      </c>
      <c r="B33" s="30" t="s">
        <v>11</v>
      </c>
      <c r="C33" s="30">
        <v>0</v>
      </c>
      <c r="D33" s="30">
        <v>0</v>
      </c>
      <c r="E33" s="30">
        <v>0</v>
      </c>
      <c r="F33" s="30">
        <v>0</v>
      </c>
    </row>
    <row r="34" spans="1:15" x14ac:dyDescent="0.35">
      <c r="A34" s="29">
        <v>45963</v>
      </c>
      <c r="B34" s="30" t="s">
        <v>21</v>
      </c>
      <c r="C34" s="30">
        <v>0</v>
      </c>
      <c r="D34" s="30">
        <v>0</v>
      </c>
      <c r="E34" s="30">
        <v>0</v>
      </c>
      <c r="F34" s="30">
        <v>1</v>
      </c>
    </row>
    <row r="35" spans="1:15" x14ac:dyDescent="0.35">
      <c r="A35" s="29">
        <v>45963</v>
      </c>
      <c r="B35" s="30" t="s">
        <v>22</v>
      </c>
      <c r="C35" s="30">
        <v>0</v>
      </c>
      <c r="D35" s="30">
        <v>0</v>
      </c>
      <c r="E35" s="30">
        <v>0</v>
      </c>
      <c r="F35" s="30">
        <v>1</v>
      </c>
    </row>
    <row r="36" spans="1:15" x14ac:dyDescent="0.35">
      <c r="A36" s="29">
        <v>45964</v>
      </c>
      <c r="B36" s="30" t="s">
        <v>13</v>
      </c>
      <c r="C36" s="30">
        <v>11.5</v>
      </c>
      <c r="D36" s="30">
        <v>0</v>
      </c>
      <c r="E36" s="30">
        <v>0</v>
      </c>
    </row>
    <row r="37" spans="1:15" x14ac:dyDescent="0.35">
      <c r="A37" s="29">
        <v>45964</v>
      </c>
      <c r="B37" s="30" t="s">
        <v>14</v>
      </c>
      <c r="C37" s="30">
        <v>11.5</v>
      </c>
      <c r="D37" s="30">
        <v>0</v>
      </c>
      <c r="E37" s="30">
        <v>0</v>
      </c>
    </row>
    <row r="38" spans="1:15" x14ac:dyDescent="0.35">
      <c r="A38" s="29">
        <v>45964</v>
      </c>
      <c r="B38" s="30" t="s">
        <v>15</v>
      </c>
      <c r="C38" s="30">
        <v>11.5</v>
      </c>
      <c r="D38" s="30">
        <v>0</v>
      </c>
      <c r="E38" s="30">
        <v>0</v>
      </c>
    </row>
    <row r="39" spans="1:15" x14ac:dyDescent="0.35">
      <c r="A39" s="29">
        <v>45964</v>
      </c>
      <c r="B39" s="30" t="s">
        <v>17</v>
      </c>
      <c r="C39" s="30">
        <v>11.5</v>
      </c>
      <c r="D39" s="30">
        <v>0</v>
      </c>
      <c r="E39" s="30">
        <v>0</v>
      </c>
    </row>
    <row r="40" spans="1:15" x14ac:dyDescent="0.35">
      <c r="A40" s="29">
        <v>45964</v>
      </c>
      <c r="B40" s="30" t="s">
        <v>18</v>
      </c>
      <c r="C40" s="30">
        <v>11.5</v>
      </c>
      <c r="D40" s="30">
        <v>0</v>
      </c>
      <c r="E40" s="30">
        <v>0</v>
      </c>
    </row>
    <row r="41" spans="1:15" x14ac:dyDescent="0.35">
      <c r="A41" s="29">
        <v>45964</v>
      </c>
      <c r="B41" s="30" t="s">
        <v>4</v>
      </c>
      <c r="C41" s="30">
        <v>0.19999999999890861</v>
      </c>
      <c r="D41" s="30">
        <v>10.800000000001091</v>
      </c>
      <c r="E41" s="30">
        <v>0</v>
      </c>
      <c r="F41" s="30">
        <v>0</v>
      </c>
      <c r="O41" s="30" t="s">
        <v>113</v>
      </c>
    </row>
    <row r="42" spans="1:15" x14ac:dyDescent="0.35">
      <c r="A42" s="29">
        <v>45964</v>
      </c>
      <c r="B42" s="30" t="s">
        <v>2</v>
      </c>
      <c r="C42" s="30">
        <v>8</v>
      </c>
      <c r="D42" s="30">
        <v>3</v>
      </c>
      <c r="E42" s="30">
        <v>0</v>
      </c>
      <c r="F42" s="30">
        <v>0</v>
      </c>
      <c r="O42" s="30" t="s">
        <v>113</v>
      </c>
    </row>
    <row r="43" spans="1:15" x14ac:dyDescent="0.35">
      <c r="A43" s="29">
        <v>45964</v>
      </c>
      <c r="B43" s="30" t="s">
        <v>3</v>
      </c>
      <c r="C43" s="30">
        <v>8</v>
      </c>
      <c r="D43" s="30">
        <v>3</v>
      </c>
      <c r="E43" s="30">
        <v>0</v>
      </c>
      <c r="F43" s="30">
        <v>0</v>
      </c>
      <c r="O43" s="30" t="s">
        <v>113</v>
      </c>
    </row>
    <row r="44" spans="1:15" x14ac:dyDescent="0.35">
      <c r="A44" s="29">
        <v>45964</v>
      </c>
      <c r="B44" s="30" t="s">
        <v>5</v>
      </c>
      <c r="C44" s="30">
        <v>0</v>
      </c>
      <c r="D44" s="30">
        <v>0</v>
      </c>
      <c r="E44" s="30">
        <v>11</v>
      </c>
      <c r="F44" s="30">
        <v>0</v>
      </c>
      <c r="O44" s="30" t="s">
        <v>38</v>
      </c>
    </row>
    <row r="45" spans="1:15" x14ac:dyDescent="0.35">
      <c r="A45" s="29">
        <v>45964</v>
      </c>
      <c r="B45" s="30" t="s">
        <v>6</v>
      </c>
      <c r="C45" s="30">
        <v>9.1000000000003638</v>
      </c>
      <c r="D45" s="30">
        <v>1.8999999999996362</v>
      </c>
      <c r="E45" s="30">
        <v>0</v>
      </c>
      <c r="F45" s="30">
        <v>0</v>
      </c>
      <c r="O45" s="30" t="s">
        <v>113</v>
      </c>
    </row>
    <row r="46" spans="1:15" x14ac:dyDescent="0.35">
      <c r="A46" s="29">
        <v>45964</v>
      </c>
      <c r="B46" s="30" t="s">
        <v>8</v>
      </c>
      <c r="C46" s="30">
        <v>7</v>
      </c>
      <c r="D46" s="30">
        <v>4</v>
      </c>
      <c r="E46" s="30">
        <v>0</v>
      </c>
      <c r="F46" s="30">
        <v>0</v>
      </c>
      <c r="O46" s="30" t="s">
        <v>113</v>
      </c>
    </row>
    <row r="47" spans="1:15" x14ac:dyDescent="0.35">
      <c r="A47" s="29">
        <v>45964</v>
      </c>
      <c r="B47" s="30" t="s">
        <v>7</v>
      </c>
      <c r="C47" s="30">
        <v>2</v>
      </c>
      <c r="D47" s="30">
        <v>9</v>
      </c>
      <c r="E47" s="30">
        <v>0</v>
      </c>
      <c r="F47" s="30">
        <v>0</v>
      </c>
      <c r="O47" s="30" t="s">
        <v>113</v>
      </c>
    </row>
    <row r="48" spans="1:15" x14ac:dyDescent="0.35">
      <c r="A48" s="29">
        <v>45964</v>
      </c>
      <c r="B48" s="30" t="s">
        <v>9</v>
      </c>
      <c r="C48" s="30">
        <v>11</v>
      </c>
      <c r="D48" s="30">
        <v>0</v>
      </c>
      <c r="E48" s="30">
        <v>0</v>
      </c>
      <c r="F48" s="30">
        <v>0</v>
      </c>
    </row>
    <row r="49" spans="1:15" x14ac:dyDescent="0.35">
      <c r="A49" s="29">
        <v>45964</v>
      </c>
      <c r="B49" s="30" t="s">
        <v>10</v>
      </c>
      <c r="C49" s="30">
        <v>11</v>
      </c>
      <c r="D49" s="30">
        <v>0</v>
      </c>
      <c r="E49" s="30">
        <v>0</v>
      </c>
      <c r="F49" s="30">
        <v>0</v>
      </c>
    </row>
    <row r="50" spans="1:15" x14ac:dyDescent="0.35">
      <c r="A50" s="29">
        <v>45964</v>
      </c>
      <c r="B50" s="30" t="s">
        <v>11</v>
      </c>
      <c r="C50" s="30">
        <v>0</v>
      </c>
      <c r="D50" s="30">
        <v>0</v>
      </c>
      <c r="E50" s="30">
        <v>0</v>
      </c>
      <c r="F50" s="30">
        <v>0</v>
      </c>
    </row>
    <row r="51" spans="1:15" x14ac:dyDescent="0.35">
      <c r="A51" s="29">
        <v>45964</v>
      </c>
      <c r="B51" s="30" t="s">
        <v>21</v>
      </c>
      <c r="C51" s="30">
        <v>0</v>
      </c>
      <c r="D51" s="30">
        <v>0</v>
      </c>
      <c r="E51" s="30">
        <v>0</v>
      </c>
      <c r="F51" s="30">
        <v>1</v>
      </c>
    </row>
    <row r="52" spans="1:15" x14ac:dyDescent="0.35">
      <c r="A52" s="29">
        <v>45964</v>
      </c>
      <c r="B52" s="30" t="s">
        <v>22</v>
      </c>
      <c r="C52" s="30">
        <v>0</v>
      </c>
      <c r="D52" s="30">
        <v>0</v>
      </c>
      <c r="E52" s="30">
        <v>0</v>
      </c>
      <c r="F52" s="30">
        <v>1</v>
      </c>
    </row>
    <row r="53" spans="1:15" x14ac:dyDescent="0.35">
      <c r="A53" s="119">
        <v>45965</v>
      </c>
      <c r="B53" s="30" t="s">
        <v>13</v>
      </c>
      <c r="C53" s="30">
        <v>11.5</v>
      </c>
      <c r="D53" s="30">
        <v>0</v>
      </c>
      <c r="E53" s="30">
        <v>0</v>
      </c>
    </row>
    <row r="54" spans="1:15" x14ac:dyDescent="0.35">
      <c r="A54" s="119">
        <v>45965</v>
      </c>
      <c r="B54" s="30" t="s">
        <v>14</v>
      </c>
      <c r="C54" s="30">
        <v>11.5</v>
      </c>
      <c r="D54" s="30">
        <v>0</v>
      </c>
      <c r="E54" s="30">
        <v>0</v>
      </c>
    </row>
    <row r="55" spans="1:15" x14ac:dyDescent="0.35">
      <c r="A55" s="119">
        <v>45965</v>
      </c>
      <c r="B55" s="30" t="s">
        <v>15</v>
      </c>
      <c r="C55" s="30">
        <v>11.5</v>
      </c>
      <c r="D55" s="30">
        <v>0</v>
      </c>
      <c r="E55" s="30">
        <v>0</v>
      </c>
    </row>
    <row r="56" spans="1:15" x14ac:dyDescent="0.35">
      <c r="A56" s="119">
        <v>45965</v>
      </c>
      <c r="B56" s="30" t="s">
        <v>17</v>
      </c>
      <c r="C56" s="30">
        <v>11.5</v>
      </c>
      <c r="D56" s="30">
        <v>0</v>
      </c>
      <c r="E56" s="30">
        <v>0</v>
      </c>
    </row>
    <row r="57" spans="1:15" x14ac:dyDescent="0.35">
      <c r="A57" s="119">
        <v>45965</v>
      </c>
      <c r="B57" s="30" t="s">
        <v>18</v>
      </c>
      <c r="C57" s="30">
        <v>11.5</v>
      </c>
      <c r="D57" s="30">
        <v>0</v>
      </c>
      <c r="E57" s="30">
        <v>0</v>
      </c>
    </row>
    <row r="58" spans="1:15" x14ac:dyDescent="0.35">
      <c r="A58" s="119">
        <v>45965</v>
      </c>
      <c r="B58" s="30" t="s">
        <v>4</v>
      </c>
      <c r="C58" s="30">
        <v>0</v>
      </c>
      <c r="D58" s="30">
        <v>11</v>
      </c>
      <c r="E58" s="30">
        <v>0</v>
      </c>
      <c r="F58" s="30">
        <v>0</v>
      </c>
      <c r="O58" s="30" t="s">
        <v>114</v>
      </c>
    </row>
    <row r="59" spans="1:15" x14ac:dyDescent="0.35">
      <c r="A59" s="119">
        <v>45965</v>
      </c>
      <c r="B59" s="30" t="s">
        <v>2</v>
      </c>
      <c r="C59" s="30">
        <v>8</v>
      </c>
      <c r="D59" s="30">
        <v>3</v>
      </c>
      <c r="E59" s="30">
        <v>0</v>
      </c>
      <c r="F59" s="30">
        <v>0</v>
      </c>
      <c r="O59" s="30" t="s">
        <v>113</v>
      </c>
    </row>
    <row r="60" spans="1:15" x14ac:dyDescent="0.35">
      <c r="A60" s="119">
        <v>45965</v>
      </c>
      <c r="B60" s="30" t="s">
        <v>3</v>
      </c>
      <c r="C60" s="30">
        <v>8</v>
      </c>
      <c r="D60" s="30">
        <v>3</v>
      </c>
      <c r="E60" s="30">
        <v>0</v>
      </c>
      <c r="F60" s="30">
        <v>0</v>
      </c>
      <c r="O60" s="30" t="s">
        <v>113</v>
      </c>
    </row>
    <row r="61" spans="1:15" x14ac:dyDescent="0.35">
      <c r="A61" s="119">
        <v>45965</v>
      </c>
      <c r="B61" s="30" t="s">
        <v>5</v>
      </c>
      <c r="C61" s="30">
        <v>0</v>
      </c>
      <c r="D61" s="30">
        <v>0</v>
      </c>
      <c r="E61" s="30">
        <v>11</v>
      </c>
      <c r="F61" s="30">
        <v>0</v>
      </c>
      <c r="O61" s="30" t="s">
        <v>38</v>
      </c>
    </row>
    <row r="62" spans="1:15" x14ac:dyDescent="0.35">
      <c r="A62" s="119">
        <v>45965</v>
      </c>
      <c r="B62" s="30" t="s">
        <v>6</v>
      </c>
      <c r="C62" s="30">
        <v>8.8000000000001819</v>
      </c>
      <c r="D62" s="30">
        <v>2.1999999999998181</v>
      </c>
      <c r="E62" s="30">
        <v>0</v>
      </c>
      <c r="F62" s="30">
        <v>0</v>
      </c>
      <c r="O62" s="30" t="s">
        <v>113</v>
      </c>
    </row>
    <row r="63" spans="1:15" x14ac:dyDescent="0.35">
      <c r="A63" s="119">
        <v>45965</v>
      </c>
      <c r="B63" s="30" t="s">
        <v>8</v>
      </c>
      <c r="C63" s="30">
        <v>10</v>
      </c>
      <c r="D63" s="30">
        <v>1</v>
      </c>
      <c r="E63" s="30">
        <v>0</v>
      </c>
      <c r="F63" s="30">
        <v>0</v>
      </c>
      <c r="O63" s="30" t="s">
        <v>113</v>
      </c>
    </row>
    <row r="64" spans="1:15" x14ac:dyDescent="0.35">
      <c r="A64" s="119">
        <v>45965</v>
      </c>
      <c r="B64" s="30" t="s">
        <v>7</v>
      </c>
      <c r="C64" s="30">
        <v>1</v>
      </c>
      <c r="D64" s="30">
        <v>10</v>
      </c>
      <c r="E64" s="30">
        <v>0</v>
      </c>
      <c r="F64" s="30">
        <v>0</v>
      </c>
      <c r="O64" s="30" t="s">
        <v>113</v>
      </c>
    </row>
    <row r="65" spans="1:15" x14ac:dyDescent="0.35">
      <c r="A65" s="119">
        <v>45965</v>
      </c>
      <c r="B65" s="30" t="s">
        <v>9</v>
      </c>
      <c r="C65" s="30">
        <v>11</v>
      </c>
      <c r="D65" s="30">
        <v>0</v>
      </c>
      <c r="E65" s="30">
        <v>0</v>
      </c>
      <c r="F65" s="30">
        <v>0</v>
      </c>
    </row>
    <row r="66" spans="1:15" x14ac:dyDescent="0.35">
      <c r="A66" s="119">
        <v>45965</v>
      </c>
      <c r="B66" s="30" t="s">
        <v>10</v>
      </c>
      <c r="C66" s="30">
        <v>11</v>
      </c>
      <c r="D66" s="30">
        <v>0</v>
      </c>
      <c r="E66" s="30">
        <v>0</v>
      </c>
      <c r="F66" s="30">
        <v>0</v>
      </c>
    </row>
    <row r="67" spans="1:15" x14ac:dyDescent="0.35">
      <c r="A67" s="119">
        <v>45965</v>
      </c>
      <c r="B67" s="30" t="s">
        <v>11</v>
      </c>
      <c r="C67" s="30">
        <v>0</v>
      </c>
      <c r="D67" s="30">
        <v>0</v>
      </c>
      <c r="E67" s="30">
        <v>0</v>
      </c>
      <c r="F67" s="30">
        <v>0</v>
      </c>
    </row>
    <row r="68" spans="1:15" x14ac:dyDescent="0.35">
      <c r="A68" s="119">
        <v>45965</v>
      </c>
      <c r="B68" s="30" t="s">
        <v>21</v>
      </c>
      <c r="C68" s="30">
        <v>0</v>
      </c>
      <c r="D68" s="30">
        <v>0</v>
      </c>
      <c r="E68" s="30">
        <v>0</v>
      </c>
      <c r="F68" s="30">
        <v>1</v>
      </c>
    </row>
    <row r="69" spans="1:15" x14ac:dyDescent="0.35">
      <c r="A69" s="119">
        <v>45965</v>
      </c>
      <c r="B69" s="30" t="s">
        <v>22</v>
      </c>
      <c r="C69" s="30">
        <v>0</v>
      </c>
      <c r="D69" s="30">
        <v>0</v>
      </c>
      <c r="E69" s="30">
        <v>0</v>
      </c>
      <c r="F69" s="30">
        <v>1</v>
      </c>
    </row>
    <row r="70" spans="1:15" x14ac:dyDescent="0.35">
      <c r="A70" s="29">
        <v>45966</v>
      </c>
      <c r="B70" s="30" t="s">
        <v>13</v>
      </c>
      <c r="C70" s="30">
        <v>11.5</v>
      </c>
      <c r="D70" s="30">
        <v>0</v>
      </c>
      <c r="E70" s="30">
        <v>0</v>
      </c>
    </row>
    <row r="71" spans="1:15" x14ac:dyDescent="0.35">
      <c r="A71" s="29">
        <v>45966</v>
      </c>
      <c r="B71" s="30" t="s">
        <v>14</v>
      </c>
      <c r="C71" s="30">
        <v>11.5</v>
      </c>
      <c r="D71" s="30">
        <v>0</v>
      </c>
      <c r="E71" s="30">
        <v>0</v>
      </c>
    </row>
    <row r="72" spans="1:15" x14ac:dyDescent="0.35">
      <c r="A72" s="29">
        <v>45966</v>
      </c>
      <c r="B72" s="30" t="s">
        <v>15</v>
      </c>
      <c r="C72" s="30">
        <v>11.5</v>
      </c>
      <c r="D72" s="30">
        <v>0</v>
      </c>
      <c r="E72" s="30">
        <v>0</v>
      </c>
    </row>
    <row r="73" spans="1:15" x14ac:dyDescent="0.35">
      <c r="A73" s="29">
        <v>45966</v>
      </c>
      <c r="B73" s="30" t="s">
        <v>17</v>
      </c>
      <c r="C73" s="30">
        <v>11.5</v>
      </c>
      <c r="D73" s="30">
        <v>0</v>
      </c>
      <c r="E73" s="30">
        <v>0</v>
      </c>
    </row>
    <row r="74" spans="1:15" x14ac:dyDescent="0.35">
      <c r="A74" s="29">
        <v>45966</v>
      </c>
      <c r="B74" s="30" t="s">
        <v>18</v>
      </c>
      <c r="C74" s="30">
        <v>11.5</v>
      </c>
      <c r="D74" s="30">
        <v>0</v>
      </c>
      <c r="E74" s="30">
        <v>0</v>
      </c>
    </row>
    <row r="75" spans="1:15" x14ac:dyDescent="0.35">
      <c r="A75" s="29">
        <v>45966</v>
      </c>
      <c r="B75" s="30" t="s">
        <v>4</v>
      </c>
      <c r="C75" s="30">
        <v>4.6000000000003638</v>
      </c>
      <c r="D75" s="30">
        <v>6.3999999999996362</v>
      </c>
      <c r="E75" s="30">
        <v>0</v>
      </c>
      <c r="F75" s="30">
        <v>0</v>
      </c>
      <c r="O75" s="30" t="s">
        <v>113</v>
      </c>
    </row>
    <row r="76" spans="1:15" x14ac:dyDescent="0.35">
      <c r="A76" s="29">
        <v>45966</v>
      </c>
      <c r="B76" s="30" t="s">
        <v>2</v>
      </c>
      <c r="C76" s="30">
        <v>7</v>
      </c>
      <c r="D76" s="30">
        <v>4</v>
      </c>
      <c r="E76" s="30">
        <v>0</v>
      </c>
      <c r="F76" s="30">
        <v>0</v>
      </c>
      <c r="O76" s="30" t="s">
        <v>113</v>
      </c>
    </row>
    <row r="77" spans="1:15" x14ac:dyDescent="0.35">
      <c r="A77" s="29">
        <v>45966</v>
      </c>
      <c r="B77" s="30" t="s">
        <v>3</v>
      </c>
      <c r="C77" s="30">
        <v>7</v>
      </c>
      <c r="D77" s="30">
        <v>4</v>
      </c>
      <c r="E77" s="30">
        <v>0</v>
      </c>
      <c r="F77" s="30">
        <v>0</v>
      </c>
      <c r="O77" s="30" t="s">
        <v>113</v>
      </c>
    </row>
    <row r="78" spans="1:15" x14ac:dyDescent="0.35">
      <c r="A78" s="29">
        <v>45966</v>
      </c>
      <c r="B78" s="30" t="s">
        <v>5</v>
      </c>
      <c r="C78" s="30">
        <v>0</v>
      </c>
      <c r="D78" s="30">
        <v>0</v>
      </c>
      <c r="E78" s="30">
        <v>11</v>
      </c>
      <c r="F78" s="30">
        <v>0</v>
      </c>
      <c r="O78" s="30" t="s">
        <v>38</v>
      </c>
    </row>
    <row r="79" spans="1:15" x14ac:dyDescent="0.35">
      <c r="A79" s="29">
        <v>45966</v>
      </c>
      <c r="B79" s="30" t="s">
        <v>6</v>
      </c>
      <c r="C79" s="30">
        <v>8.1999999999998181</v>
      </c>
      <c r="D79" s="30">
        <v>2.8000000000001819</v>
      </c>
      <c r="E79" s="30">
        <v>0</v>
      </c>
      <c r="F79" s="30">
        <v>0</v>
      </c>
      <c r="O79" s="30" t="s">
        <v>113</v>
      </c>
    </row>
    <row r="80" spans="1:15" x14ac:dyDescent="0.35">
      <c r="A80" s="29">
        <v>45966</v>
      </c>
      <c r="B80" s="30" t="s">
        <v>8</v>
      </c>
      <c r="C80" s="30">
        <v>7</v>
      </c>
      <c r="D80" s="30">
        <v>4</v>
      </c>
      <c r="E80" s="30">
        <v>0</v>
      </c>
      <c r="F80" s="30">
        <v>0</v>
      </c>
      <c r="O80" s="30" t="s">
        <v>113</v>
      </c>
    </row>
    <row r="81" spans="1:15" x14ac:dyDescent="0.35">
      <c r="A81" s="29">
        <v>45966</v>
      </c>
      <c r="B81" s="30" t="s">
        <v>7</v>
      </c>
      <c r="C81" s="30">
        <v>0</v>
      </c>
      <c r="D81" s="30">
        <v>11</v>
      </c>
      <c r="E81" s="30">
        <v>0</v>
      </c>
      <c r="F81" s="30">
        <v>0</v>
      </c>
      <c r="O81" s="30" t="s">
        <v>113</v>
      </c>
    </row>
    <row r="82" spans="1:15" x14ac:dyDescent="0.35">
      <c r="A82" s="29">
        <v>45966</v>
      </c>
      <c r="B82" s="30" t="s">
        <v>9</v>
      </c>
      <c r="C82" s="30">
        <v>11</v>
      </c>
      <c r="D82" s="30">
        <v>0</v>
      </c>
      <c r="E82" s="30">
        <v>0</v>
      </c>
      <c r="F82" s="30">
        <v>0</v>
      </c>
    </row>
    <row r="83" spans="1:15" x14ac:dyDescent="0.35">
      <c r="A83" s="29">
        <v>45966</v>
      </c>
      <c r="B83" s="30" t="s">
        <v>10</v>
      </c>
      <c r="C83" s="30">
        <v>11</v>
      </c>
      <c r="D83" s="30">
        <v>0</v>
      </c>
      <c r="E83" s="30">
        <v>0</v>
      </c>
      <c r="F83" s="30">
        <v>0</v>
      </c>
    </row>
    <row r="84" spans="1:15" x14ac:dyDescent="0.35">
      <c r="A84" s="29">
        <v>45966</v>
      </c>
      <c r="B84" s="30" t="s">
        <v>11</v>
      </c>
      <c r="C84" s="30">
        <v>0</v>
      </c>
      <c r="D84" s="30">
        <v>0</v>
      </c>
      <c r="E84" s="30">
        <v>0</v>
      </c>
      <c r="F84" s="30">
        <v>0</v>
      </c>
    </row>
    <row r="85" spans="1:15" x14ac:dyDescent="0.35">
      <c r="A85" s="29">
        <v>45966</v>
      </c>
      <c r="B85" s="30" t="s">
        <v>21</v>
      </c>
      <c r="C85" s="30">
        <v>0</v>
      </c>
      <c r="D85" s="30">
        <v>0</v>
      </c>
      <c r="E85" s="30">
        <v>0</v>
      </c>
      <c r="F85" s="30">
        <v>1</v>
      </c>
    </row>
    <row r="86" spans="1:15" x14ac:dyDescent="0.35">
      <c r="A86" s="29">
        <v>45966</v>
      </c>
      <c r="B86" s="30" t="s">
        <v>22</v>
      </c>
      <c r="C86" s="30">
        <v>0</v>
      </c>
      <c r="D86" s="30">
        <v>0</v>
      </c>
      <c r="E86" s="30">
        <v>0</v>
      </c>
      <c r="F86" s="30">
        <v>1</v>
      </c>
    </row>
    <row r="87" spans="1:15" x14ac:dyDescent="0.35">
      <c r="A87" s="29">
        <v>45967</v>
      </c>
      <c r="B87" s="30" t="s">
        <v>13</v>
      </c>
      <c r="C87" s="30">
        <v>11.5</v>
      </c>
      <c r="D87" s="30">
        <v>0</v>
      </c>
      <c r="E87" s="30">
        <v>0</v>
      </c>
    </row>
    <row r="88" spans="1:15" x14ac:dyDescent="0.35">
      <c r="A88" s="29">
        <v>45967</v>
      </c>
      <c r="B88" s="30" t="s">
        <v>14</v>
      </c>
      <c r="C88" s="30">
        <v>11.5</v>
      </c>
      <c r="D88" s="30">
        <v>0</v>
      </c>
      <c r="E88" s="30">
        <v>0</v>
      </c>
    </row>
    <row r="89" spans="1:15" x14ac:dyDescent="0.35">
      <c r="A89" s="29">
        <v>45967</v>
      </c>
      <c r="B89" s="30" t="s">
        <v>15</v>
      </c>
      <c r="C89" s="30">
        <v>11.5</v>
      </c>
      <c r="D89" s="30">
        <v>0</v>
      </c>
      <c r="E89" s="30">
        <v>0</v>
      </c>
    </row>
    <row r="90" spans="1:15" x14ac:dyDescent="0.35">
      <c r="A90" s="29">
        <v>45967</v>
      </c>
      <c r="B90" s="30" t="s">
        <v>17</v>
      </c>
      <c r="C90" s="30">
        <v>11.5</v>
      </c>
      <c r="D90" s="30">
        <v>0</v>
      </c>
      <c r="E90" s="30">
        <v>0</v>
      </c>
    </row>
    <row r="91" spans="1:15" x14ac:dyDescent="0.35">
      <c r="A91" s="29">
        <v>45967</v>
      </c>
      <c r="B91" s="30" t="s">
        <v>18</v>
      </c>
      <c r="C91" s="30">
        <v>11.5</v>
      </c>
      <c r="D91" s="30">
        <v>0</v>
      </c>
      <c r="E91" s="30">
        <v>0</v>
      </c>
    </row>
    <row r="92" spans="1:15" x14ac:dyDescent="0.35">
      <c r="A92" s="29">
        <v>45967</v>
      </c>
      <c r="B92" s="30" t="s">
        <v>4</v>
      </c>
      <c r="C92" s="30">
        <v>5.5</v>
      </c>
      <c r="D92" s="30">
        <v>5.5</v>
      </c>
      <c r="E92" s="30">
        <v>0</v>
      </c>
      <c r="F92" s="30">
        <v>0</v>
      </c>
      <c r="O92" s="30" t="s">
        <v>113</v>
      </c>
    </row>
    <row r="93" spans="1:15" x14ac:dyDescent="0.35">
      <c r="A93" s="29">
        <v>45967</v>
      </c>
      <c r="B93" s="30" t="s">
        <v>2</v>
      </c>
      <c r="C93" s="30">
        <v>8</v>
      </c>
      <c r="D93" s="30">
        <v>3</v>
      </c>
      <c r="E93" s="30">
        <v>0</v>
      </c>
      <c r="F93" s="30">
        <v>0</v>
      </c>
      <c r="O93" s="30" t="s">
        <v>113</v>
      </c>
    </row>
    <row r="94" spans="1:15" x14ac:dyDescent="0.35">
      <c r="A94" s="29">
        <v>45967</v>
      </c>
      <c r="B94" s="30" t="s">
        <v>3</v>
      </c>
      <c r="C94" s="30">
        <v>8</v>
      </c>
      <c r="D94" s="30">
        <v>3</v>
      </c>
      <c r="E94" s="30">
        <v>0</v>
      </c>
      <c r="F94" s="30">
        <v>0</v>
      </c>
      <c r="O94" s="30" t="s">
        <v>120</v>
      </c>
    </row>
    <row r="95" spans="1:15" x14ac:dyDescent="0.35">
      <c r="A95" s="29">
        <v>45967</v>
      </c>
      <c r="B95" s="30" t="s">
        <v>82</v>
      </c>
      <c r="C95" s="30">
        <v>0</v>
      </c>
      <c r="D95" s="30">
        <v>0</v>
      </c>
      <c r="E95" s="30">
        <v>11</v>
      </c>
      <c r="F95" s="30">
        <v>0</v>
      </c>
      <c r="O95" s="30" t="s">
        <v>38</v>
      </c>
    </row>
    <row r="96" spans="1:15" x14ac:dyDescent="0.35">
      <c r="A96" s="29">
        <v>45967</v>
      </c>
      <c r="B96" s="30" t="s">
        <v>81</v>
      </c>
      <c r="C96" s="30">
        <v>8.8999999999996362</v>
      </c>
      <c r="D96" s="30">
        <v>2.1000000000003638</v>
      </c>
      <c r="E96" s="30">
        <v>0</v>
      </c>
      <c r="F96" s="30">
        <v>0</v>
      </c>
      <c r="O96" s="30" t="s">
        <v>113</v>
      </c>
    </row>
    <row r="97" spans="1:15" x14ac:dyDescent="0.35">
      <c r="A97" s="29">
        <v>45967</v>
      </c>
      <c r="B97" s="30" t="s">
        <v>8</v>
      </c>
      <c r="C97" s="30">
        <v>9</v>
      </c>
      <c r="D97" s="30">
        <v>2</v>
      </c>
      <c r="E97" s="30">
        <v>0</v>
      </c>
      <c r="F97" s="30">
        <v>0</v>
      </c>
      <c r="O97" s="30" t="s">
        <v>113</v>
      </c>
    </row>
    <row r="98" spans="1:15" x14ac:dyDescent="0.35">
      <c r="A98" s="29">
        <v>45967</v>
      </c>
      <c r="B98" s="30" t="s">
        <v>7</v>
      </c>
      <c r="C98" s="30">
        <v>0</v>
      </c>
      <c r="D98" s="30">
        <v>11</v>
      </c>
      <c r="E98" s="30">
        <v>0</v>
      </c>
      <c r="F98" s="30">
        <v>0</v>
      </c>
      <c r="O98" s="30" t="s">
        <v>113</v>
      </c>
    </row>
    <row r="99" spans="1:15" x14ac:dyDescent="0.35">
      <c r="A99" s="29">
        <v>45967</v>
      </c>
      <c r="B99" s="30" t="s">
        <v>9</v>
      </c>
      <c r="C99" s="30">
        <v>11</v>
      </c>
      <c r="D99" s="30">
        <v>0</v>
      </c>
      <c r="E99" s="30">
        <v>0</v>
      </c>
      <c r="F99" s="30">
        <v>0</v>
      </c>
    </row>
    <row r="100" spans="1:15" x14ac:dyDescent="0.35">
      <c r="A100" s="29">
        <v>45967</v>
      </c>
      <c r="B100" s="30" t="s">
        <v>10</v>
      </c>
      <c r="C100" s="30">
        <v>11</v>
      </c>
      <c r="D100" s="30">
        <v>0</v>
      </c>
      <c r="E100" s="30">
        <v>0</v>
      </c>
      <c r="F100" s="30">
        <v>0</v>
      </c>
    </row>
    <row r="101" spans="1:15" x14ac:dyDescent="0.35">
      <c r="A101" s="29">
        <v>45967</v>
      </c>
      <c r="B101" s="30" t="s">
        <v>11</v>
      </c>
      <c r="C101" s="30">
        <v>0</v>
      </c>
      <c r="D101" s="30">
        <v>0</v>
      </c>
      <c r="E101" s="30">
        <v>0</v>
      </c>
      <c r="F101" s="30">
        <v>0</v>
      </c>
    </row>
    <row r="102" spans="1:15" x14ac:dyDescent="0.35">
      <c r="A102" s="29">
        <v>45967</v>
      </c>
      <c r="B102" s="30" t="s">
        <v>21</v>
      </c>
      <c r="C102" s="30">
        <v>0</v>
      </c>
      <c r="D102" s="30">
        <v>0</v>
      </c>
      <c r="E102" s="30">
        <v>0</v>
      </c>
      <c r="F102" s="30">
        <v>1</v>
      </c>
    </row>
    <row r="103" spans="1:15" x14ac:dyDescent="0.35">
      <c r="A103" s="29">
        <v>45967</v>
      </c>
      <c r="B103" s="30" t="s">
        <v>22</v>
      </c>
      <c r="C103" s="30">
        <v>0</v>
      </c>
      <c r="D103" s="30">
        <v>0</v>
      </c>
      <c r="E103" s="30">
        <v>0</v>
      </c>
      <c r="F103" s="30">
        <v>1</v>
      </c>
    </row>
    <row r="104" spans="1:15" x14ac:dyDescent="0.35">
      <c r="A104" s="29">
        <v>45968</v>
      </c>
      <c r="B104" s="30" t="s">
        <v>13</v>
      </c>
      <c r="C104" s="30">
        <v>11.5</v>
      </c>
      <c r="D104" s="30">
        <v>0</v>
      </c>
      <c r="E104" s="30">
        <v>0</v>
      </c>
    </row>
    <row r="105" spans="1:15" x14ac:dyDescent="0.35">
      <c r="A105" s="29">
        <v>45968</v>
      </c>
      <c r="B105" s="30" t="s">
        <v>14</v>
      </c>
      <c r="C105" s="30">
        <v>11.5</v>
      </c>
      <c r="D105" s="30">
        <v>0</v>
      </c>
      <c r="E105" s="30">
        <v>0</v>
      </c>
    </row>
    <row r="106" spans="1:15" x14ac:dyDescent="0.35">
      <c r="A106" s="29">
        <v>45968</v>
      </c>
      <c r="B106" s="30" t="s">
        <v>15</v>
      </c>
      <c r="C106" s="30">
        <v>11.5</v>
      </c>
      <c r="D106" s="30">
        <v>0</v>
      </c>
      <c r="E106" s="30">
        <v>0</v>
      </c>
    </row>
    <row r="107" spans="1:15" x14ac:dyDescent="0.35">
      <c r="A107" s="29">
        <v>45968</v>
      </c>
      <c r="B107" s="30" t="s">
        <v>17</v>
      </c>
      <c r="C107" s="30">
        <v>11.5</v>
      </c>
      <c r="D107" s="30">
        <v>0</v>
      </c>
      <c r="E107" s="30">
        <v>0</v>
      </c>
    </row>
    <row r="108" spans="1:15" x14ac:dyDescent="0.35">
      <c r="A108" s="29">
        <v>45968</v>
      </c>
      <c r="B108" s="30" t="s">
        <v>18</v>
      </c>
      <c r="C108" s="30">
        <v>11.5</v>
      </c>
      <c r="D108" s="30">
        <v>0</v>
      </c>
      <c r="E108" s="30">
        <v>0</v>
      </c>
    </row>
    <row r="109" spans="1:15" x14ac:dyDescent="0.35">
      <c r="A109" s="29">
        <v>45968</v>
      </c>
      <c r="B109" s="30" t="s">
        <v>4</v>
      </c>
      <c r="C109" s="30">
        <v>6.5</v>
      </c>
      <c r="D109" s="30">
        <v>4.5</v>
      </c>
      <c r="E109" s="30">
        <v>0</v>
      </c>
      <c r="F109" s="30">
        <v>0</v>
      </c>
      <c r="O109" s="30" t="s">
        <v>122</v>
      </c>
    </row>
    <row r="110" spans="1:15" x14ac:dyDescent="0.35">
      <c r="A110" s="29">
        <v>45968</v>
      </c>
      <c r="B110" s="30" t="s">
        <v>2</v>
      </c>
      <c r="C110" s="30">
        <v>7</v>
      </c>
      <c r="D110" s="30">
        <v>4</v>
      </c>
      <c r="E110" s="30">
        <v>0</v>
      </c>
      <c r="F110" s="30">
        <v>0</v>
      </c>
      <c r="O110" s="30" t="s">
        <v>113</v>
      </c>
    </row>
    <row r="111" spans="1:15" x14ac:dyDescent="0.35">
      <c r="A111" s="29">
        <v>45968</v>
      </c>
      <c r="B111" s="30" t="s">
        <v>3</v>
      </c>
      <c r="C111" s="30">
        <v>6</v>
      </c>
      <c r="D111" s="30">
        <v>5</v>
      </c>
      <c r="E111" s="30">
        <v>0</v>
      </c>
      <c r="F111" s="30">
        <v>0</v>
      </c>
      <c r="O111" s="30" t="s">
        <v>113</v>
      </c>
    </row>
    <row r="112" spans="1:15" x14ac:dyDescent="0.35">
      <c r="A112" s="29">
        <v>45968</v>
      </c>
      <c r="B112" s="30" t="s">
        <v>82</v>
      </c>
      <c r="C112" s="30">
        <v>0</v>
      </c>
      <c r="D112" s="30">
        <v>0</v>
      </c>
      <c r="E112" s="30">
        <v>11</v>
      </c>
      <c r="F112" s="30">
        <v>0</v>
      </c>
      <c r="O112" s="30" t="s">
        <v>38</v>
      </c>
    </row>
    <row r="113" spans="1:15" x14ac:dyDescent="0.35">
      <c r="A113" s="29">
        <v>45968</v>
      </c>
      <c r="B113" s="30" t="s">
        <v>81</v>
      </c>
      <c r="C113" s="30">
        <v>8.6999999999998181</v>
      </c>
      <c r="D113" s="30">
        <v>2.3000000000001819</v>
      </c>
      <c r="E113" s="30">
        <v>0</v>
      </c>
      <c r="F113" s="30">
        <v>0</v>
      </c>
      <c r="O113" s="30" t="s">
        <v>113</v>
      </c>
    </row>
    <row r="114" spans="1:15" x14ac:dyDescent="0.35">
      <c r="A114" s="29">
        <v>45968</v>
      </c>
      <c r="B114" s="30" t="s">
        <v>8</v>
      </c>
      <c r="C114" s="30">
        <v>7</v>
      </c>
      <c r="D114" s="30">
        <v>4</v>
      </c>
      <c r="E114" s="30">
        <v>0</v>
      </c>
      <c r="F114" s="30">
        <v>0</v>
      </c>
      <c r="O114" s="30" t="s">
        <v>113</v>
      </c>
    </row>
    <row r="115" spans="1:15" x14ac:dyDescent="0.35">
      <c r="A115" s="29">
        <v>45968</v>
      </c>
      <c r="B115" s="30" t="s">
        <v>7</v>
      </c>
      <c r="C115" s="30">
        <v>1.8000000000001819</v>
      </c>
      <c r="D115" s="30">
        <v>9.1999999999998181</v>
      </c>
      <c r="E115" s="30">
        <v>0</v>
      </c>
      <c r="F115" s="30">
        <v>0</v>
      </c>
      <c r="O115" s="30" t="s">
        <v>113</v>
      </c>
    </row>
    <row r="116" spans="1:15" x14ac:dyDescent="0.35">
      <c r="A116" s="29">
        <v>45968</v>
      </c>
      <c r="B116" s="30" t="s">
        <v>9</v>
      </c>
      <c r="C116" s="30">
        <v>11</v>
      </c>
      <c r="D116" s="30">
        <v>0</v>
      </c>
      <c r="E116" s="30">
        <v>0</v>
      </c>
      <c r="F116" s="30">
        <v>0</v>
      </c>
    </row>
    <row r="117" spans="1:15" x14ac:dyDescent="0.35">
      <c r="A117" s="29">
        <v>45968</v>
      </c>
      <c r="B117" s="30" t="s">
        <v>10</v>
      </c>
      <c r="C117" s="30">
        <v>11</v>
      </c>
      <c r="D117" s="30">
        <v>0</v>
      </c>
      <c r="E117" s="30">
        <v>0</v>
      </c>
      <c r="F117" s="30">
        <v>0</v>
      </c>
    </row>
    <row r="118" spans="1:15" x14ac:dyDescent="0.35">
      <c r="A118" s="29">
        <v>45968</v>
      </c>
      <c r="B118" s="30" t="s">
        <v>11</v>
      </c>
      <c r="C118" s="30">
        <v>0</v>
      </c>
      <c r="D118" s="30">
        <v>0</v>
      </c>
      <c r="E118" s="30">
        <v>0</v>
      </c>
      <c r="F118" s="30">
        <v>0</v>
      </c>
    </row>
    <row r="119" spans="1:15" x14ac:dyDescent="0.35">
      <c r="A119" s="29">
        <v>45968</v>
      </c>
      <c r="B119" s="30" t="s">
        <v>21</v>
      </c>
      <c r="C119" s="30">
        <v>0</v>
      </c>
      <c r="D119" s="30">
        <v>0</v>
      </c>
      <c r="E119" s="30">
        <v>0</v>
      </c>
      <c r="F119" s="30">
        <v>1</v>
      </c>
    </row>
    <row r="120" spans="1:15" x14ac:dyDescent="0.35">
      <c r="A120" s="29">
        <v>45968</v>
      </c>
      <c r="B120" s="30" t="s">
        <v>22</v>
      </c>
      <c r="C120" s="30">
        <v>0</v>
      </c>
      <c r="D120" s="30">
        <v>0</v>
      </c>
      <c r="E120" s="30">
        <v>0</v>
      </c>
      <c r="F120" s="30">
        <v>1</v>
      </c>
    </row>
    <row r="121" spans="1:15" x14ac:dyDescent="0.35">
      <c r="A121" s="29">
        <v>45969</v>
      </c>
      <c r="B121" s="30" t="s">
        <v>13</v>
      </c>
      <c r="C121" s="30">
        <v>11.5</v>
      </c>
      <c r="D121" s="30">
        <v>0</v>
      </c>
      <c r="E121" s="30">
        <v>0</v>
      </c>
    </row>
    <row r="122" spans="1:15" x14ac:dyDescent="0.35">
      <c r="A122" s="29">
        <v>45969</v>
      </c>
      <c r="B122" s="30" t="s">
        <v>14</v>
      </c>
      <c r="C122" s="30">
        <v>11.5</v>
      </c>
      <c r="D122" s="30">
        <v>0</v>
      </c>
      <c r="E122" s="30">
        <v>0</v>
      </c>
    </row>
    <row r="123" spans="1:15" x14ac:dyDescent="0.35">
      <c r="A123" s="29">
        <v>45969</v>
      </c>
      <c r="B123" s="30" t="s">
        <v>15</v>
      </c>
      <c r="C123" s="30">
        <v>11.5</v>
      </c>
      <c r="D123" s="30">
        <v>0</v>
      </c>
      <c r="E123" s="30">
        <v>0</v>
      </c>
    </row>
    <row r="124" spans="1:15" x14ac:dyDescent="0.35">
      <c r="A124" s="29">
        <v>45969</v>
      </c>
      <c r="B124" s="30" t="s">
        <v>17</v>
      </c>
      <c r="C124" s="30">
        <v>11.5</v>
      </c>
      <c r="D124" s="30">
        <v>0</v>
      </c>
      <c r="E124" s="30">
        <v>0</v>
      </c>
    </row>
    <row r="125" spans="1:15" x14ac:dyDescent="0.35">
      <c r="A125" s="29">
        <v>45969</v>
      </c>
      <c r="B125" s="30" t="s">
        <v>18</v>
      </c>
      <c r="C125" s="30">
        <v>11.5</v>
      </c>
      <c r="D125" s="30">
        <v>0</v>
      </c>
      <c r="E125" s="30">
        <v>0</v>
      </c>
    </row>
    <row r="126" spans="1:15" x14ac:dyDescent="0.35">
      <c r="A126" s="29">
        <v>45969</v>
      </c>
      <c r="B126" s="30" t="s">
        <v>4</v>
      </c>
      <c r="C126" s="30">
        <v>5.8999999999996362</v>
      </c>
      <c r="D126" s="30">
        <v>5.1000000000003638</v>
      </c>
      <c r="E126" s="30">
        <v>0</v>
      </c>
      <c r="F126" s="30">
        <v>0</v>
      </c>
      <c r="O126" s="30" t="s">
        <v>122</v>
      </c>
    </row>
    <row r="127" spans="1:15" x14ac:dyDescent="0.35">
      <c r="A127" s="29">
        <v>45969</v>
      </c>
      <c r="B127" s="30" t="s">
        <v>2</v>
      </c>
      <c r="C127" s="30">
        <v>7</v>
      </c>
      <c r="D127" s="30">
        <v>4</v>
      </c>
      <c r="E127" s="30">
        <v>0</v>
      </c>
      <c r="F127" s="30">
        <v>0</v>
      </c>
      <c r="O127" s="30" t="s">
        <v>113</v>
      </c>
    </row>
    <row r="128" spans="1:15" x14ac:dyDescent="0.35">
      <c r="A128" s="29">
        <v>45969</v>
      </c>
      <c r="B128" s="30" t="s">
        <v>3</v>
      </c>
      <c r="C128" s="30">
        <v>9</v>
      </c>
      <c r="D128" s="30">
        <v>2</v>
      </c>
      <c r="E128" s="30">
        <v>0</v>
      </c>
      <c r="F128" s="30">
        <v>0</v>
      </c>
      <c r="O128" s="30" t="s">
        <v>113</v>
      </c>
    </row>
    <row r="129" spans="1:15" x14ac:dyDescent="0.35">
      <c r="A129" s="29">
        <v>45969</v>
      </c>
      <c r="B129" s="30" t="s">
        <v>5</v>
      </c>
      <c r="C129" s="30">
        <v>0</v>
      </c>
      <c r="D129" s="30">
        <v>0</v>
      </c>
      <c r="E129" s="30">
        <v>11</v>
      </c>
      <c r="F129" s="30">
        <v>0</v>
      </c>
      <c r="O129" s="30" t="s">
        <v>38</v>
      </c>
    </row>
    <row r="130" spans="1:15" x14ac:dyDescent="0.35">
      <c r="A130" s="29">
        <v>45969</v>
      </c>
      <c r="B130" s="30" t="s">
        <v>6</v>
      </c>
      <c r="C130" s="30">
        <v>9</v>
      </c>
      <c r="D130" s="30">
        <v>2</v>
      </c>
      <c r="E130" s="30">
        <v>0</v>
      </c>
      <c r="F130" s="30">
        <v>0</v>
      </c>
      <c r="O130" s="30" t="s">
        <v>113</v>
      </c>
    </row>
    <row r="131" spans="1:15" x14ac:dyDescent="0.35">
      <c r="A131" s="29">
        <v>45969</v>
      </c>
      <c r="B131" s="30" t="s">
        <v>8</v>
      </c>
      <c r="C131" s="30">
        <v>10</v>
      </c>
      <c r="D131" s="30">
        <v>1</v>
      </c>
      <c r="E131" s="30">
        <v>0</v>
      </c>
      <c r="F131" s="30">
        <v>0</v>
      </c>
      <c r="O131" s="30" t="s">
        <v>113</v>
      </c>
    </row>
    <row r="132" spans="1:15" x14ac:dyDescent="0.35">
      <c r="A132" s="29">
        <v>45969</v>
      </c>
      <c r="B132" s="30" t="s">
        <v>7</v>
      </c>
      <c r="C132" s="30">
        <v>1</v>
      </c>
      <c r="D132" s="30">
        <v>10</v>
      </c>
      <c r="E132" s="30">
        <v>0</v>
      </c>
      <c r="F132" s="30">
        <v>0</v>
      </c>
      <c r="O132" s="30" t="s">
        <v>113</v>
      </c>
    </row>
    <row r="133" spans="1:15" x14ac:dyDescent="0.35">
      <c r="A133" s="29">
        <v>45969</v>
      </c>
      <c r="B133" s="30" t="s">
        <v>9</v>
      </c>
      <c r="C133" s="30">
        <v>11</v>
      </c>
      <c r="D133" s="30">
        <v>0</v>
      </c>
      <c r="E133" s="30">
        <v>0</v>
      </c>
      <c r="F133" s="30">
        <v>0</v>
      </c>
    </row>
    <row r="134" spans="1:15" x14ac:dyDescent="0.35">
      <c r="A134" s="29">
        <v>45969</v>
      </c>
      <c r="B134" s="30" t="s">
        <v>10</v>
      </c>
      <c r="C134" s="30">
        <v>11</v>
      </c>
      <c r="D134" s="30">
        <v>0</v>
      </c>
      <c r="E134" s="30">
        <v>0</v>
      </c>
      <c r="F134" s="30">
        <v>0</v>
      </c>
    </row>
    <row r="135" spans="1:15" x14ac:dyDescent="0.35">
      <c r="A135" s="29">
        <v>45969</v>
      </c>
      <c r="B135" s="30" t="s">
        <v>11</v>
      </c>
      <c r="C135" s="30">
        <v>0</v>
      </c>
      <c r="D135" s="30">
        <v>0</v>
      </c>
      <c r="E135" s="30">
        <v>0</v>
      </c>
      <c r="F135" s="30">
        <v>0</v>
      </c>
    </row>
    <row r="136" spans="1:15" x14ac:dyDescent="0.35">
      <c r="A136" s="29">
        <v>45969</v>
      </c>
      <c r="B136" s="30" t="s">
        <v>21</v>
      </c>
      <c r="C136" s="30">
        <v>0</v>
      </c>
      <c r="D136" s="30">
        <v>0</v>
      </c>
      <c r="E136" s="30">
        <v>0</v>
      </c>
      <c r="F136" s="30">
        <v>1</v>
      </c>
    </row>
    <row r="137" spans="1:15" x14ac:dyDescent="0.35">
      <c r="A137" s="29">
        <v>45969</v>
      </c>
      <c r="B137" s="30" t="s">
        <v>22</v>
      </c>
      <c r="C137" s="30">
        <v>0</v>
      </c>
      <c r="D137" s="30">
        <v>0</v>
      </c>
      <c r="E137" s="30">
        <v>0</v>
      </c>
      <c r="F137" s="30">
        <v>1</v>
      </c>
    </row>
    <row r="138" spans="1:15" x14ac:dyDescent="0.35">
      <c r="A138" s="29">
        <v>45970</v>
      </c>
      <c r="B138" s="30" t="s">
        <v>13</v>
      </c>
      <c r="C138" s="30">
        <v>0</v>
      </c>
      <c r="D138" s="30">
        <v>0</v>
      </c>
      <c r="E138" s="30">
        <v>0</v>
      </c>
    </row>
    <row r="139" spans="1:15" x14ac:dyDescent="0.35">
      <c r="A139" s="29">
        <v>45970</v>
      </c>
      <c r="B139" s="30" t="s">
        <v>14</v>
      </c>
      <c r="C139" s="30">
        <v>0</v>
      </c>
      <c r="D139" s="30">
        <v>0</v>
      </c>
      <c r="E139" s="30">
        <v>0</v>
      </c>
    </row>
    <row r="140" spans="1:15" x14ac:dyDescent="0.35">
      <c r="A140" s="29">
        <v>45970</v>
      </c>
      <c r="B140" s="30" t="s">
        <v>15</v>
      </c>
      <c r="C140" s="30">
        <v>0</v>
      </c>
      <c r="D140" s="30">
        <v>0</v>
      </c>
      <c r="E140" s="30">
        <v>0</v>
      </c>
    </row>
    <row r="141" spans="1:15" x14ac:dyDescent="0.35">
      <c r="A141" s="29">
        <v>45970</v>
      </c>
      <c r="B141" s="30" t="s">
        <v>17</v>
      </c>
      <c r="C141" s="30">
        <v>0</v>
      </c>
      <c r="D141" s="30">
        <v>0</v>
      </c>
      <c r="E141" s="30">
        <v>0</v>
      </c>
    </row>
    <row r="142" spans="1:15" x14ac:dyDescent="0.35">
      <c r="A142" s="29">
        <v>45970</v>
      </c>
      <c r="B142" s="30" t="s">
        <v>18</v>
      </c>
      <c r="C142" s="30">
        <v>0</v>
      </c>
      <c r="D142" s="30">
        <v>0</v>
      </c>
      <c r="E142" s="30">
        <v>0</v>
      </c>
    </row>
    <row r="143" spans="1:15" x14ac:dyDescent="0.35">
      <c r="A143" s="29">
        <v>45970</v>
      </c>
      <c r="B143" s="30" t="s">
        <v>4</v>
      </c>
      <c r="C143" s="30">
        <v>0</v>
      </c>
      <c r="D143" s="30">
        <v>0</v>
      </c>
      <c r="E143" s="30">
        <v>0</v>
      </c>
      <c r="F143" s="30">
        <v>0</v>
      </c>
    </row>
    <row r="144" spans="1:15" x14ac:dyDescent="0.35">
      <c r="A144" s="29">
        <v>45970</v>
      </c>
      <c r="B144" s="30" t="s">
        <v>2</v>
      </c>
      <c r="C144" s="30">
        <v>0</v>
      </c>
      <c r="D144" s="30">
        <v>0</v>
      </c>
      <c r="E144" s="30">
        <v>0</v>
      </c>
      <c r="F144" s="30">
        <v>0</v>
      </c>
    </row>
    <row r="145" spans="1:15" x14ac:dyDescent="0.35">
      <c r="A145" s="29">
        <v>45970</v>
      </c>
      <c r="B145" s="30" t="s">
        <v>3</v>
      </c>
      <c r="C145" s="30">
        <v>0</v>
      </c>
      <c r="D145" s="30">
        <v>0</v>
      </c>
      <c r="E145" s="30">
        <v>0</v>
      </c>
      <c r="F145" s="30">
        <v>0</v>
      </c>
    </row>
    <row r="146" spans="1:15" x14ac:dyDescent="0.35">
      <c r="A146" s="29">
        <v>45970</v>
      </c>
      <c r="B146" s="30" t="s">
        <v>5</v>
      </c>
      <c r="C146" s="30">
        <v>0</v>
      </c>
      <c r="D146" s="30">
        <v>0</v>
      </c>
      <c r="E146" s="30">
        <v>0</v>
      </c>
      <c r="F146" s="30">
        <v>0</v>
      </c>
    </row>
    <row r="147" spans="1:15" x14ac:dyDescent="0.35">
      <c r="A147" s="29">
        <v>45970</v>
      </c>
      <c r="B147" s="30" t="s">
        <v>6</v>
      </c>
      <c r="C147" s="30">
        <v>0</v>
      </c>
      <c r="D147" s="30">
        <v>0</v>
      </c>
      <c r="E147" s="30">
        <v>0</v>
      </c>
      <c r="F147" s="30">
        <v>0</v>
      </c>
    </row>
    <row r="148" spans="1:15" x14ac:dyDescent="0.35">
      <c r="A148" s="29">
        <v>45970</v>
      </c>
      <c r="B148" s="30" t="s">
        <v>8</v>
      </c>
      <c r="C148" s="30">
        <v>0</v>
      </c>
      <c r="D148" s="30">
        <v>0</v>
      </c>
      <c r="E148" s="30">
        <v>0</v>
      </c>
      <c r="F148" s="30">
        <v>0</v>
      </c>
    </row>
    <row r="149" spans="1:15" x14ac:dyDescent="0.35">
      <c r="A149" s="29">
        <v>45970</v>
      </c>
      <c r="B149" s="30" t="s">
        <v>7</v>
      </c>
      <c r="C149" s="30">
        <v>0</v>
      </c>
      <c r="D149" s="30">
        <v>0</v>
      </c>
      <c r="E149" s="30">
        <v>0</v>
      </c>
      <c r="F149" s="30">
        <v>0</v>
      </c>
    </row>
    <row r="150" spans="1:15" x14ac:dyDescent="0.35">
      <c r="A150" s="29">
        <v>45970</v>
      </c>
      <c r="B150" s="30" t="s">
        <v>9</v>
      </c>
      <c r="C150" s="30">
        <v>0</v>
      </c>
      <c r="D150" s="30">
        <v>0</v>
      </c>
      <c r="E150" s="30">
        <v>0</v>
      </c>
      <c r="F150" s="30">
        <v>0</v>
      </c>
    </row>
    <row r="151" spans="1:15" x14ac:dyDescent="0.35">
      <c r="A151" s="29">
        <v>45970</v>
      </c>
      <c r="B151" s="30" t="s">
        <v>10</v>
      </c>
      <c r="C151" s="30">
        <v>0</v>
      </c>
      <c r="D151" s="30">
        <v>0</v>
      </c>
      <c r="E151" s="30">
        <v>0</v>
      </c>
      <c r="F151" s="30">
        <v>0</v>
      </c>
    </row>
    <row r="152" spans="1:15" x14ac:dyDescent="0.35">
      <c r="A152" s="29">
        <v>45970</v>
      </c>
      <c r="B152" s="30" t="s">
        <v>11</v>
      </c>
      <c r="C152" s="30">
        <v>0</v>
      </c>
      <c r="D152" s="30">
        <v>0</v>
      </c>
      <c r="E152" s="30">
        <v>0</v>
      </c>
      <c r="F152" s="30">
        <v>0</v>
      </c>
    </row>
    <row r="153" spans="1:15" x14ac:dyDescent="0.35">
      <c r="A153" s="29">
        <v>45970</v>
      </c>
      <c r="B153" s="30" t="s">
        <v>21</v>
      </c>
      <c r="C153" s="30">
        <v>0</v>
      </c>
      <c r="D153" s="30">
        <v>0</v>
      </c>
      <c r="E153" s="30">
        <v>0</v>
      </c>
      <c r="F153" s="30">
        <v>0</v>
      </c>
      <c r="O153" s="30">
        <v>1</v>
      </c>
    </row>
    <row r="154" spans="1:15" x14ac:dyDescent="0.35">
      <c r="A154" s="29">
        <v>45970</v>
      </c>
      <c r="B154" s="30" t="s">
        <v>22</v>
      </c>
      <c r="C154" s="30">
        <v>0</v>
      </c>
      <c r="D154" s="30">
        <v>0</v>
      </c>
      <c r="E154" s="30">
        <v>0</v>
      </c>
      <c r="F154" s="30">
        <v>0</v>
      </c>
      <c r="O154" s="30">
        <v>1</v>
      </c>
    </row>
    <row r="155" spans="1:15" x14ac:dyDescent="0.35">
      <c r="A155" s="29">
        <v>45971</v>
      </c>
      <c r="B155" s="30" t="s">
        <v>13</v>
      </c>
      <c r="C155" s="30">
        <v>11.5</v>
      </c>
      <c r="D155" s="30">
        <v>0</v>
      </c>
      <c r="E155" s="30">
        <v>0</v>
      </c>
    </row>
    <row r="156" spans="1:15" x14ac:dyDescent="0.35">
      <c r="A156" s="29">
        <v>45971</v>
      </c>
      <c r="B156" s="30" t="s">
        <v>14</v>
      </c>
      <c r="C156" s="30">
        <v>11.5</v>
      </c>
      <c r="D156" s="30">
        <v>0</v>
      </c>
      <c r="E156" s="30">
        <v>0</v>
      </c>
    </row>
    <row r="157" spans="1:15" x14ac:dyDescent="0.35">
      <c r="A157" s="29">
        <v>45971</v>
      </c>
      <c r="B157" s="30" t="s">
        <v>15</v>
      </c>
      <c r="C157" s="30">
        <v>11.5</v>
      </c>
      <c r="D157" s="30">
        <v>0</v>
      </c>
      <c r="E157" s="30">
        <v>0</v>
      </c>
    </row>
    <row r="158" spans="1:15" x14ac:dyDescent="0.35">
      <c r="A158" s="29">
        <v>45971</v>
      </c>
      <c r="B158" s="30" t="s">
        <v>16</v>
      </c>
      <c r="C158" s="30">
        <v>10</v>
      </c>
      <c r="D158" s="30">
        <v>0</v>
      </c>
      <c r="E158" s="30">
        <v>0</v>
      </c>
    </row>
    <row r="159" spans="1:15" x14ac:dyDescent="0.35">
      <c r="A159" s="29">
        <v>45971</v>
      </c>
      <c r="B159" s="30" t="s">
        <v>17</v>
      </c>
      <c r="C159" s="30">
        <v>11.5</v>
      </c>
      <c r="D159" s="30">
        <v>0</v>
      </c>
      <c r="E159" s="30">
        <v>0</v>
      </c>
    </row>
    <row r="160" spans="1:15" x14ac:dyDescent="0.35">
      <c r="A160" s="29">
        <v>45971</v>
      </c>
      <c r="B160" s="30" t="s">
        <v>18</v>
      </c>
      <c r="C160" s="30">
        <v>11.5</v>
      </c>
      <c r="D160" s="30">
        <v>0</v>
      </c>
      <c r="E160" s="30">
        <v>0</v>
      </c>
    </row>
    <row r="161" spans="1:15" x14ac:dyDescent="0.35">
      <c r="A161" s="29">
        <v>45971</v>
      </c>
      <c r="B161" s="30" t="s">
        <v>4</v>
      </c>
      <c r="C161" s="30">
        <v>8.1000000000003638</v>
      </c>
      <c r="D161" s="30">
        <v>2.8999999999996362</v>
      </c>
      <c r="E161" s="30">
        <v>0</v>
      </c>
      <c r="F161" s="30">
        <v>0</v>
      </c>
      <c r="O161" s="30" t="s">
        <v>122</v>
      </c>
    </row>
    <row r="162" spans="1:15" x14ac:dyDescent="0.35">
      <c r="A162" s="29">
        <v>45971</v>
      </c>
      <c r="B162" s="30" t="s">
        <v>2</v>
      </c>
      <c r="C162" s="30">
        <v>7</v>
      </c>
      <c r="D162" s="30">
        <v>4</v>
      </c>
      <c r="E162" s="30">
        <v>0</v>
      </c>
      <c r="F162" s="30">
        <v>0</v>
      </c>
      <c r="O162" s="30" t="s">
        <v>128</v>
      </c>
    </row>
    <row r="163" spans="1:15" x14ac:dyDescent="0.35">
      <c r="A163" s="29">
        <v>45971</v>
      </c>
      <c r="B163" s="30" t="s">
        <v>3</v>
      </c>
      <c r="C163" s="30">
        <v>7</v>
      </c>
      <c r="D163" s="30">
        <v>4</v>
      </c>
      <c r="E163" s="30">
        <v>0</v>
      </c>
      <c r="F163" s="30">
        <v>0</v>
      </c>
      <c r="O163" s="30" t="s">
        <v>122</v>
      </c>
    </row>
    <row r="164" spans="1:15" x14ac:dyDescent="0.35">
      <c r="A164" s="29">
        <v>45971</v>
      </c>
      <c r="B164" s="30" t="s">
        <v>5</v>
      </c>
      <c r="C164" s="30">
        <v>0</v>
      </c>
      <c r="D164" s="30">
        <v>0</v>
      </c>
      <c r="E164" s="30">
        <v>11</v>
      </c>
      <c r="F164" s="30">
        <v>0</v>
      </c>
      <c r="O164" s="30" t="s">
        <v>38</v>
      </c>
    </row>
    <row r="165" spans="1:15" x14ac:dyDescent="0.35">
      <c r="A165" s="29">
        <v>45971</v>
      </c>
      <c r="B165" s="30" t="s">
        <v>6</v>
      </c>
      <c r="C165" s="30">
        <v>8.8000000000001819</v>
      </c>
      <c r="D165" s="30">
        <v>2.1999999999998181</v>
      </c>
      <c r="E165" s="30">
        <v>0</v>
      </c>
      <c r="F165" s="30">
        <v>0</v>
      </c>
      <c r="O165" s="30" t="s">
        <v>122</v>
      </c>
    </row>
    <row r="166" spans="1:15" x14ac:dyDescent="0.35">
      <c r="A166" s="29">
        <v>45971</v>
      </c>
      <c r="B166" s="30" t="s">
        <v>8</v>
      </c>
      <c r="C166" s="30">
        <v>8</v>
      </c>
      <c r="D166" s="30">
        <v>3</v>
      </c>
      <c r="E166" s="30">
        <v>0</v>
      </c>
      <c r="F166" s="30">
        <v>0</v>
      </c>
      <c r="O166" s="30" t="s">
        <v>122</v>
      </c>
    </row>
    <row r="167" spans="1:15" x14ac:dyDescent="0.35">
      <c r="A167" s="29">
        <v>45971</v>
      </c>
      <c r="B167" s="30" t="s">
        <v>7</v>
      </c>
      <c r="C167" s="30">
        <v>0</v>
      </c>
      <c r="D167" s="30">
        <v>11</v>
      </c>
      <c r="E167" s="30">
        <v>0</v>
      </c>
      <c r="F167" s="30">
        <v>0</v>
      </c>
      <c r="O167" s="30" t="s">
        <v>122</v>
      </c>
    </row>
    <row r="168" spans="1:15" x14ac:dyDescent="0.35">
      <c r="A168" s="29">
        <v>45971</v>
      </c>
      <c r="B168" s="30" t="s">
        <v>9</v>
      </c>
      <c r="C168" s="30">
        <v>11</v>
      </c>
      <c r="D168" s="30">
        <v>0</v>
      </c>
      <c r="E168" s="30">
        <v>0</v>
      </c>
      <c r="F168" s="30">
        <v>0</v>
      </c>
    </row>
    <row r="169" spans="1:15" x14ac:dyDescent="0.35">
      <c r="A169" s="29">
        <v>45971</v>
      </c>
      <c r="B169" s="30" t="s">
        <v>10</v>
      </c>
      <c r="C169" s="30">
        <v>11</v>
      </c>
      <c r="D169" s="30">
        <v>0</v>
      </c>
      <c r="E169" s="30">
        <v>0</v>
      </c>
      <c r="F169" s="30">
        <v>0</v>
      </c>
    </row>
    <row r="170" spans="1:15" x14ac:dyDescent="0.35">
      <c r="A170" s="29">
        <v>45971</v>
      </c>
      <c r="B170" s="30" t="s">
        <v>11</v>
      </c>
      <c r="C170" s="30">
        <v>0</v>
      </c>
      <c r="D170" s="30">
        <v>0</v>
      </c>
      <c r="E170" s="30">
        <v>0</v>
      </c>
      <c r="F170" s="30">
        <v>0</v>
      </c>
    </row>
    <row r="171" spans="1:15" x14ac:dyDescent="0.35">
      <c r="A171" s="29">
        <v>45971</v>
      </c>
      <c r="B171" s="30" t="s">
        <v>21</v>
      </c>
      <c r="C171" s="30">
        <v>0</v>
      </c>
      <c r="D171" s="30">
        <v>0</v>
      </c>
      <c r="E171" s="30">
        <v>0</v>
      </c>
      <c r="F171" s="30">
        <v>1</v>
      </c>
    </row>
    <row r="172" spans="1:15" x14ac:dyDescent="0.35">
      <c r="A172" s="29">
        <v>45971</v>
      </c>
      <c r="B172" s="30" t="s">
        <v>22</v>
      </c>
      <c r="C172" s="30">
        <v>0</v>
      </c>
      <c r="D172" s="30">
        <v>0</v>
      </c>
      <c r="E172" s="30">
        <v>0</v>
      </c>
      <c r="F172" s="30">
        <v>1</v>
      </c>
    </row>
    <row r="173" spans="1:15" x14ac:dyDescent="0.35">
      <c r="A173" s="29">
        <v>45972</v>
      </c>
      <c r="B173" s="30" t="s">
        <v>13</v>
      </c>
      <c r="C173" s="30">
        <v>11.5</v>
      </c>
      <c r="D173" s="30">
        <v>0</v>
      </c>
      <c r="E173" s="30">
        <v>0</v>
      </c>
    </row>
    <row r="174" spans="1:15" x14ac:dyDescent="0.35">
      <c r="A174" s="29">
        <v>45972</v>
      </c>
      <c r="B174" s="30" t="s">
        <v>14</v>
      </c>
      <c r="C174" s="30">
        <v>11.5</v>
      </c>
      <c r="D174" s="30">
        <v>0</v>
      </c>
      <c r="E174" s="30">
        <v>0</v>
      </c>
    </row>
    <row r="175" spans="1:15" x14ac:dyDescent="0.35">
      <c r="A175" s="29">
        <v>45972</v>
      </c>
      <c r="B175" s="30" t="s">
        <v>15</v>
      </c>
      <c r="C175" s="30">
        <v>11.5</v>
      </c>
      <c r="D175" s="30">
        <v>0</v>
      </c>
      <c r="E175" s="30">
        <v>0</v>
      </c>
    </row>
    <row r="176" spans="1:15" x14ac:dyDescent="0.35">
      <c r="A176" s="29">
        <v>45972</v>
      </c>
      <c r="B176" s="30" t="s">
        <v>16</v>
      </c>
      <c r="C176" s="30">
        <v>10</v>
      </c>
      <c r="D176" s="30">
        <v>0</v>
      </c>
      <c r="E176" s="30">
        <v>0</v>
      </c>
    </row>
    <row r="177" spans="1:15" x14ac:dyDescent="0.35">
      <c r="A177" s="29">
        <v>45972</v>
      </c>
      <c r="B177" s="30" t="s">
        <v>17</v>
      </c>
      <c r="C177" s="30">
        <v>11.5</v>
      </c>
      <c r="D177" s="30">
        <v>0</v>
      </c>
      <c r="E177" s="30">
        <v>0</v>
      </c>
    </row>
    <row r="178" spans="1:15" x14ac:dyDescent="0.35">
      <c r="A178" s="29">
        <v>45972</v>
      </c>
      <c r="B178" s="30" t="s">
        <v>18</v>
      </c>
      <c r="C178" s="30">
        <v>11.5</v>
      </c>
      <c r="D178" s="30">
        <v>0</v>
      </c>
      <c r="E178" s="30">
        <v>0</v>
      </c>
    </row>
    <row r="179" spans="1:15" x14ac:dyDescent="0.35">
      <c r="A179" s="29">
        <v>45972</v>
      </c>
      <c r="B179" s="30" t="s">
        <v>4</v>
      </c>
      <c r="C179" s="30">
        <v>2.2000000000007276</v>
      </c>
      <c r="D179" s="30">
        <v>8.7999999999992724</v>
      </c>
      <c r="E179" s="30">
        <v>0</v>
      </c>
      <c r="F179" s="30">
        <v>0</v>
      </c>
      <c r="O179" s="30" t="s">
        <v>122</v>
      </c>
    </row>
    <row r="180" spans="1:15" x14ac:dyDescent="0.35">
      <c r="A180" s="29">
        <v>45972</v>
      </c>
      <c r="B180" s="30" t="s">
        <v>2</v>
      </c>
      <c r="C180" s="30">
        <v>4</v>
      </c>
      <c r="D180" s="30">
        <v>7</v>
      </c>
      <c r="E180" s="30">
        <v>0</v>
      </c>
      <c r="F180" s="30">
        <v>0</v>
      </c>
      <c r="O180" s="30" t="s">
        <v>128</v>
      </c>
    </row>
    <row r="181" spans="1:15" x14ac:dyDescent="0.35">
      <c r="A181" s="29">
        <v>45972</v>
      </c>
      <c r="B181" s="30" t="s">
        <v>3</v>
      </c>
      <c r="C181" s="30">
        <v>5</v>
      </c>
      <c r="D181" s="30">
        <v>6</v>
      </c>
      <c r="E181" s="30">
        <v>0</v>
      </c>
      <c r="F181" s="30">
        <v>0</v>
      </c>
      <c r="O181" s="30" t="s">
        <v>122</v>
      </c>
    </row>
    <row r="182" spans="1:15" x14ac:dyDescent="0.35">
      <c r="A182" s="29">
        <v>45972</v>
      </c>
      <c r="B182" s="30" t="s">
        <v>5</v>
      </c>
      <c r="C182" s="30">
        <v>0</v>
      </c>
      <c r="D182" s="30">
        <v>0</v>
      </c>
      <c r="E182" s="30">
        <v>11</v>
      </c>
      <c r="F182" s="30">
        <v>0</v>
      </c>
      <c r="O182" s="30" t="s">
        <v>38</v>
      </c>
    </row>
    <row r="183" spans="1:15" x14ac:dyDescent="0.35">
      <c r="A183" s="29">
        <v>45972</v>
      </c>
      <c r="B183" s="30" t="s">
        <v>6</v>
      </c>
      <c r="C183" s="30">
        <v>5.3000000000001819</v>
      </c>
      <c r="D183" s="30">
        <v>5.6999999999998181</v>
      </c>
      <c r="E183" s="30">
        <v>0</v>
      </c>
      <c r="F183" s="30">
        <v>0</v>
      </c>
      <c r="O183" s="30" t="s">
        <v>122</v>
      </c>
    </row>
    <row r="184" spans="1:15" x14ac:dyDescent="0.35">
      <c r="A184" s="29">
        <v>45972</v>
      </c>
      <c r="B184" s="30" t="s">
        <v>8</v>
      </c>
      <c r="C184" s="30">
        <v>6</v>
      </c>
      <c r="D184" s="30">
        <v>5</v>
      </c>
      <c r="E184" s="30">
        <v>0</v>
      </c>
      <c r="F184" s="30">
        <v>0</v>
      </c>
      <c r="O184" s="30" t="s">
        <v>122</v>
      </c>
    </row>
    <row r="185" spans="1:15" x14ac:dyDescent="0.35">
      <c r="A185" s="29">
        <v>45972</v>
      </c>
      <c r="B185" s="30" t="s">
        <v>7</v>
      </c>
      <c r="C185" s="30">
        <v>0</v>
      </c>
      <c r="D185" s="30">
        <v>11</v>
      </c>
      <c r="E185" s="30">
        <v>0</v>
      </c>
      <c r="F185" s="30">
        <v>0</v>
      </c>
      <c r="O185" s="30" t="s">
        <v>131</v>
      </c>
    </row>
    <row r="186" spans="1:15" x14ac:dyDescent="0.35">
      <c r="A186" s="29">
        <v>45972</v>
      </c>
      <c r="B186" s="30" t="s">
        <v>9</v>
      </c>
      <c r="C186" s="30">
        <v>11</v>
      </c>
      <c r="D186" s="30">
        <v>0</v>
      </c>
      <c r="E186" s="30">
        <v>0</v>
      </c>
      <c r="F186" s="30">
        <v>0</v>
      </c>
    </row>
    <row r="187" spans="1:15" x14ac:dyDescent="0.35">
      <c r="A187" s="29">
        <v>45972</v>
      </c>
      <c r="B187" s="30" t="s">
        <v>10</v>
      </c>
      <c r="C187" s="30">
        <v>11</v>
      </c>
      <c r="D187" s="30">
        <v>0</v>
      </c>
      <c r="E187" s="30">
        <v>0</v>
      </c>
      <c r="F187" s="30">
        <v>0</v>
      </c>
    </row>
    <row r="188" spans="1:15" x14ac:dyDescent="0.35">
      <c r="A188" s="29">
        <v>45972</v>
      </c>
      <c r="B188" s="30" t="s">
        <v>11</v>
      </c>
      <c r="C188" s="30">
        <v>0</v>
      </c>
      <c r="D188" s="30">
        <v>0</v>
      </c>
      <c r="E188" s="30">
        <v>0</v>
      </c>
      <c r="F188" s="30">
        <v>0</v>
      </c>
    </row>
    <row r="189" spans="1:15" x14ac:dyDescent="0.35">
      <c r="A189" s="29">
        <v>45972</v>
      </c>
      <c r="B189" s="30" t="s">
        <v>21</v>
      </c>
      <c r="C189" s="30">
        <v>0</v>
      </c>
      <c r="D189" s="30">
        <v>0</v>
      </c>
      <c r="E189" s="30">
        <v>0</v>
      </c>
      <c r="F189" s="30">
        <v>1</v>
      </c>
    </row>
    <row r="190" spans="1:15" x14ac:dyDescent="0.35">
      <c r="A190" s="29">
        <v>45972</v>
      </c>
      <c r="B190" s="30" t="s">
        <v>22</v>
      </c>
      <c r="C190" s="30">
        <v>0</v>
      </c>
      <c r="D190" s="30">
        <v>0</v>
      </c>
      <c r="E190" s="30">
        <v>0</v>
      </c>
      <c r="F190" s="30">
        <v>1</v>
      </c>
    </row>
    <row r="191" spans="1:15" x14ac:dyDescent="0.35">
      <c r="A191" s="29">
        <v>45973</v>
      </c>
      <c r="B191" s="30" t="s">
        <v>13</v>
      </c>
      <c r="C191" s="30">
        <v>11.5</v>
      </c>
      <c r="D191" s="30">
        <v>0</v>
      </c>
      <c r="E191" s="30">
        <v>0</v>
      </c>
    </row>
    <row r="192" spans="1:15" x14ac:dyDescent="0.35">
      <c r="A192" s="29">
        <v>45973</v>
      </c>
      <c r="B192" s="30" t="s">
        <v>14</v>
      </c>
      <c r="C192" s="30">
        <v>11.5</v>
      </c>
      <c r="D192" s="30">
        <v>0</v>
      </c>
      <c r="E192" s="30">
        <v>0</v>
      </c>
    </row>
    <row r="193" spans="1:15" x14ac:dyDescent="0.35">
      <c r="A193" s="29">
        <v>45973</v>
      </c>
      <c r="B193" s="30" t="s">
        <v>15</v>
      </c>
      <c r="C193" s="30">
        <v>11.5</v>
      </c>
      <c r="D193" s="30">
        <v>0</v>
      </c>
      <c r="E193" s="30">
        <v>0</v>
      </c>
    </row>
    <row r="194" spans="1:15" x14ac:dyDescent="0.35">
      <c r="A194" s="29">
        <v>45973</v>
      </c>
      <c r="B194" s="30" t="s">
        <v>16</v>
      </c>
      <c r="C194" s="30">
        <v>11.5</v>
      </c>
      <c r="D194" s="44">
        <v>0</v>
      </c>
      <c r="E194" s="30">
        <v>0</v>
      </c>
    </row>
    <row r="195" spans="1:15" x14ac:dyDescent="0.35">
      <c r="A195" s="29">
        <v>45973</v>
      </c>
      <c r="B195" s="30" t="s">
        <v>17</v>
      </c>
      <c r="C195" s="30">
        <v>11.5</v>
      </c>
      <c r="D195" s="44">
        <v>0</v>
      </c>
      <c r="E195" s="30">
        <v>0</v>
      </c>
    </row>
    <row r="196" spans="1:15" x14ac:dyDescent="0.35">
      <c r="A196" s="29">
        <v>45973</v>
      </c>
      <c r="B196" s="30" t="s">
        <v>18</v>
      </c>
      <c r="C196" s="30">
        <v>11.5</v>
      </c>
      <c r="D196" s="44">
        <v>0</v>
      </c>
      <c r="E196" s="30">
        <v>0</v>
      </c>
    </row>
    <row r="197" spans="1:15" x14ac:dyDescent="0.35">
      <c r="A197" s="29">
        <v>45973</v>
      </c>
      <c r="B197" s="30" t="s">
        <v>4</v>
      </c>
      <c r="C197" s="30">
        <v>3.8999999999996362</v>
      </c>
      <c r="D197" s="44">
        <v>7.1000000000003638</v>
      </c>
      <c r="E197" s="30">
        <v>0</v>
      </c>
      <c r="F197" s="30">
        <v>0</v>
      </c>
      <c r="O197" s="30" t="s">
        <v>122</v>
      </c>
    </row>
    <row r="198" spans="1:15" x14ac:dyDescent="0.35">
      <c r="A198" s="29">
        <v>45973</v>
      </c>
      <c r="B198" s="30" t="s">
        <v>2</v>
      </c>
      <c r="C198" s="30">
        <v>7</v>
      </c>
      <c r="D198" s="44">
        <v>4</v>
      </c>
      <c r="E198" s="30">
        <v>0</v>
      </c>
      <c r="F198" s="30">
        <v>0</v>
      </c>
      <c r="O198" s="30" t="s">
        <v>128</v>
      </c>
    </row>
    <row r="199" spans="1:15" x14ac:dyDescent="0.35">
      <c r="A199" s="29">
        <v>45973</v>
      </c>
      <c r="B199" s="30" t="s">
        <v>3</v>
      </c>
      <c r="C199" s="30">
        <v>9</v>
      </c>
      <c r="D199" s="44">
        <v>2</v>
      </c>
      <c r="E199" s="30">
        <v>0</v>
      </c>
      <c r="F199" s="30">
        <v>0</v>
      </c>
      <c r="O199" s="30" t="s">
        <v>122</v>
      </c>
    </row>
    <row r="200" spans="1:15" x14ac:dyDescent="0.35">
      <c r="A200" s="29">
        <v>45973</v>
      </c>
      <c r="B200" s="30" t="s">
        <v>5</v>
      </c>
      <c r="C200" s="30">
        <v>3.3000000000001819</v>
      </c>
      <c r="D200" s="44">
        <v>0</v>
      </c>
      <c r="E200" s="30">
        <v>7.7</v>
      </c>
      <c r="F200" s="30">
        <v>0</v>
      </c>
      <c r="O200" s="30" t="s">
        <v>135</v>
      </c>
    </row>
    <row r="201" spans="1:15" x14ac:dyDescent="0.35">
      <c r="A201" s="29">
        <v>45973</v>
      </c>
      <c r="B201" s="30" t="s">
        <v>6</v>
      </c>
      <c r="C201" s="30">
        <v>4.1999999999998181</v>
      </c>
      <c r="D201" s="44">
        <v>6.8000000000001819</v>
      </c>
      <c r="E201" s="30">
        <v>0</v>
      </c>
      <c r="F201" s="30">
        <v>0</v>
      </c>
      <c r="O201" s="30" t="s">
        <v>122</v>
      </c>
    </row>
    <row r="202" spans="1:15" x14ac:dyDescent="0.35">
      <c r="A202" s="29">
        <v>45973</v>
      </c>
      <c r="B202" s="30" t="s">
        <v>8</v>
      </c>
      <c r="C202" s="30">
        <v>9</v>
      </c>
      <c r="D202" s="44">
        <v>2</v>
      </c>
      <c r="E202" s="30">
        <v>0</v>
      </c>
      <c r="F202" s="30">
        <v>0</v>
      </c>
      <c r="O202" s="30" t="s">
        <v>122</v>
      </c>
    </row>
    <row r="203" spans="1:15" x14ac:dyDescent="0.35">
      <c r="A203" s="29">
        <v>45973</v>
      </c>
      <c r="B203" s="30" t="s">
        <v>7</v>
      </c>
      <c r="C203" s="30">
        <v>0</v>
      </c>
      <c r="D203" s="30">
        <v>11</v>
      </c>
      <c r="E203" s="30">
        <v>0</v>
      </c>
      <c r="F203" s="30">
        <v>0</v>
      </c>
      <c r="O203" s="30" t="s">
        <v>131</v>
      </c>
    </row>
    <row r="204" spans="1:15" x14ac:dyDescent="0.35">
      <c r="A204" s="29">
        <v>45973</v>
      </c>
      <c r="B204" s="30" t="s">
        <v>9</v>
      </c>
      <c r="C204" s="30">
        <v>11</v>
      </c>
      <c r="D204" s="30">
        <v>0</v>
      </c>
      <c r="E204" s="30">
        <v>0</v>
      </c>
      <c r="F204" s="30">
        <v>0</v>
      </c>
    </row>
    <row r="205" spans="1:15" x14ac:dyDescent="0.35">
      <c r="A205" s="29">
        <v>45973</v>
      </c>
      <c r="B205" s="30" t="s">
        <v>10</v>
      </c>
      <c r="C205" s="30">
        <v>11</v>
      </c>
      <c r="D205" s="30">
        <v>0</v>
      </c>
      <c r="E205" s="30">
        <v>0</v>
      </c>
      <c r="F205" s="30">
        <v>0</v>
      </c>
    </row>
    <row r="206" spans="1:15" x14ac:dyDescent="0.35">
      <c r="A206" s="29">
        <v>45973</v>
      </c>
      <c r="B206" s="30" t="s">
        <v>11</v>
      </c>
      <c r="C206" s="30">
        <v>0</v>
      </c>
      <c r="D206" s="30">
        <v>0</v>
      </c>
      <c r="E206" s="30">
        <v>0</v>
      </c>
      <c r="F206" s="30">
        <v>0</v>
      </c>
    </row>
    <row r="207" spans="1:15" x14ac:dyDescent="0.35">
      <c r="A207" s="29">
        <v>45973</v>
      </c>
      <c r="B207" s="30" t="s">
        <v>21</v>
      </c>
      <c r="C207" s="30">
        <v>0</v>
      </c>
      <c r="D207" s="30">
        <v>0</v>
      </c>
      <c r="E207" s="30">
        <v>0</v>
      </c>
      <c r="F207" s="30">
        <v>1</v>
      </c>
    </row>
    <row r="208" spans="1:15" x14ac:dyDescent="0.35">
      <c r="A208" s="29">
        <v>45973</v>
      </c>
      <c r="B208" s="30" t="s">
        <v>22</v>
      </c>
      <c r="C208" s="30">
        <v>0</v>
      </c>
      <c r="D208" s="30">
        <v>0</v>
      </c>
      <c r="E208" s="30">
        <v>0</v>
      </c>
      <c r="F208" s="30">
        <v>1</v>
      </c>
    </row>
    <row r="209" spans="1:15" x14ac:dyDescent="0.35">
      <c r="A209" s="29">
        <v>45974</v>
      </c>
      <c r="B209" s="30" t="s">
        <v>13</v>
      </c>
      <c r="C209" s="30">
        <v>11.5</v>
      </c>
      <c r="D209" s="44">
        <v>0</v>
      </c>
      <c r="E209" s="30">
        <v>0</v>
      </c>
    </row>
    <row r="210" spans="1:15" x14ac:dyDescent="0.35">
      <c r="A210" s="29">
        <v>45974</v>
      </c>
      <c r="B210" s="30" t="s">
        <v>14</v>
      </c>
      <c r="C210" s="30">
        <v>11.5</v>
      </c>
      <c r="D210" s="44">
        <v>0</v>
      </c>
      <c r="E210" s="30">
        <v>0</v>
      </c>
    </row>
    <row r="211" spans="1:15" x14ac:dyDescent="0.35">
      <c r="A211" s="29">
        <v>45974</v>
      </c>
      <c r="B211" s="30" t="s">
        <v>15</v>
      </c>
      <c r="C211" s="30">
        <v>11.5</v>
      </c>
      <c r="D211" s="44">
        <v>0</v>
      </c>
      <c r="E211" s="30">
        <v>0</v>
      </c>
    </row>
    <row r="212" spans="1:15" x14ac:dyDescent="0.35">
      <c r="A212" s="29">
        <v>45974</v>
      </c>
      <c r="B212" s="30" t="s">
        <v>16</v>
      </c>
      <c r="C212" s="30">
        <v>11.5</v>
      </c>
      <c r="D212" s="44">
        <v>0</v>
      </c>
      <c r="E212" s="30">
        <v>0</v>
      </c>
    </row>
    <row r="213" spans="1:15" x14ac:dyDescent="0.35">
      <c r="A213" s="29">
        <v>45974</v>
      </c>
      <c r="B213" s="30" t="s">
        <v>17</v>
      </c>
      <c r="C213" s="30">
        <v>11.5</v>
      </c>
      <c r="D213" s="44">
        <v>0</v>
      </c>
      <c r="E213" s="30">
        <v>0</v>
      </c>
    </row>
    <row r="214" spans="1:15" x14ac:dyDescent="0.35">
      <c r="A214" s="29">
        <v>45974</v>
      </c>
      <c r="B214" s="30" t="s">
        <v>18</v>
      </c>
      <c r="C214" s="30">
        <v>11.5</v>
      </c>
      <c r="D214" s="44">
        <v>0</v>
      </c>
      <c r="E214" s="30">
        <v>0</v>
      </c>
    </row>
    <row r="215" spans="1:15" x14ac:dyDescent="0.35">
      <c r="A215" s="29">
        <v>45974</v>
      </c>
      <c r="B215" s="30" t="s">
        <v>4</v>
      </c>
      <c r="C215" s="30">
        <v>2</v>
      </c>
      <c r="D215" s="44">
        <v>9</v>
      </c>
      <c r="E215" s="30">
        <v>0</v>
      </c>
      <c r="F215" s="30">
        <v>0</v>
      </c>
      <c r="O215" s="30" t="s">
        <v>122</v>
      </c>
    </row>
    <row r="216" spans="1:15" x14ac:dyDescent="0.35">
      <c r="A216" s="29">
        <v>45974</v>
      </c>
      <c r="B216" s="30" t="s">
        <v>2</v>
      </c>
      <c r="C216" s="30">
        <v>8</v>
      </c>
      <c r="D216" s="44">
        <v>3</v>
      </c>
      <c r="E216" s="30">
        <v>0</v>
      </c>
      <c r="F216" s="30">
        <v>0</v>
      </c>
      <c r="O216" s="30" t="s">
        <v>128</v>
      </c>
    </row>
    <row r="217" spans="1:15" x14ac:dyDescent="0.35">
      <c r="A217" s="29">
        <v>45974</v>
      </c>
      <c r="B217" s="30" t="s">
        <v>3</v>
      </c>
      <c r="C217" s="30">
        <v>8</v>
      </c>
      <c r="D217" s="44">
        <v>3</v>
      </c>
      <c r="E217" s="30">
        <v>0</v>
      </c>
      <c r="F217" s="30">
        <v>0</v>
      </c>
      <c r="O217" s="30" t="s">
        <v>122</v>
      </c>
    </row>
    <row r="218" spans="1:15" x14ac:dyDescent="0.35">
      <c r="A218" s="29">
        <v>45974</v>
      </c>
      <c r="B218" s="30" t="s">
        <v>5</v>
      </c>
      <c r="C218" s="30">
        <v>0</v>
      </c>
      <c r="D218" s="30">
        <v>0</v>
      </c>
      <c r="E218" s="30">
        <v>11</v>
      </c>
      <c r="F218" s="30">
        <v>0</v>
      </c>
      <c r="O218" s="30" t="s">
        <v>38</v>
      </c>
    </row>
    <row r="219" spans="1:15" x14ac:dyDescent="0.35">
      <c r="A219" s="29">
        <v>45974</v>
      </c>
      <c r="B219" s="30" t="s">
        <v>6</v>
      </c>
      <c r="C219" s="30">
        <v>9.4000000000005457</v>
      </c>
      <c r="D219" s="30">
        <v>1.5999999999994543</v>
      </c>
      <c r="E219" s="30">
        <v>0</v>
      </c>
      <c r="F219" s="30">
        <v>0</v>
      </c>
      <c r="O219" s="30" t="s">
        <v>122</v>
      </c>
    </row>
    <row r="220" spans="1:15" x14ac:dyDescent="0.35">
      <c r="A220" s="29">
        <v>45974</v>
      </c>
      <c r="B220" s="30" t="s">
        <v>8</v>
      </c>
      <c r="C220" s="30">
        <v>9</v>
      </c>
      <c r="D220" s="30">
        <v>2</v>
      </c>
      <c r="E220" s="30">
        <v>0</v>
      </c>
      <c r="F220" s="30">
        <v>0</v>
      </c>
      <c r="O220" s="30" t="s">
        <v>137</v>
      </c>
    </row>
    <row r="221" spans="1:15" x14ac:dyDescent="0.35">
      <c r="A221" s="29">
        <v>45974</v>
      </c>
      <c r="B221" s="30" t="s">
        <v>7</v>
      </c>
      <c r="C221" s="30">
        <v>1.7999999999992724</v>
      </c>
      <c r="D221" s="30">
        <v>9.2000000000007276</v>
      </c>
      <c r="E221" s="30">
        <v>0</v>
      </c>
      <c r="F221" s="30">
        <v>0</v>
      </c>
      <c r="O221" s="30" t="s">
        <v>131</v>
      </c>
    </row>
    <row r="222" spans="1:15" x14ac:dyDescent="0.35">
      <c r="A222" s="29">
        <v>45974</v>
      </c>
      <c r="B222" s="30" t="s">
        <v>9</v>
      </c>
      <c r="C222" s="30">
        <v>11</v>
      </c>
      <c r="D222" s="30">
        <v>0</v>
      </c>
      <c r="E222" s="30">
        <v>0</v>
      </c>
      <c r="F222" s="30">
        <v>0</v>
      </c>
    </row>
    <row r="223" spans="1:15" x14ac:dyDescent="0.35">
      <c r="A223" s="29">
        <v>45974</v>
      </c>
      <c r="B223" s="30" t="s">
        <v>10</v>
      </c>
      <c r="C223" s="30">
        <v>11</v>
      </c>
      <c r="D223" s="30">
        <v>0</v>
      </c>
      <c r="E223" s="30">
        <v>0</v>
      </c>
      <c r="F223" s="30">
        <v>0</v>
      </c>
    </row>
    <row r="224" spans="1:15" x14ac:dyDescent="0.35">
      <c r="A224" s="29">
        <v>45974</v>
      </c>
      <c r="B224" s="30" t="s">
        <v>11</v>
      </c>
      <c r="C224" s="30">
        <v>0</v>
      </c>
      <c r="D224" s="30">
        <v>0</v>
      </c>
      <c r="E224" s="30">
        <v>0</v>
      </c>
      <c r="F224" s="30">
        <v>0</v>
      </c>
    </row>
    <row r="225" spans="1:15" x14ac:dyDescent="0.35">
      <c r="A225" s="29">
        <v>45974</v>
      </c>
      <c r="B225" s="30" t="s">
        <v>21</v>
      </c>
      <c r="C225" s="30">
        <v>0</v>
      </c>
      <c r="D225" s="30">
        <v>0</v>
      </c>
      <c r="E225" s="30">
        <v>0</v>
      </c>
      <c r="F225" s="30">
        <v>1</v>
      </c>
    </row>
    <row r="226" spans="1:15" x14ac:dyDescent="0.35">
      <c r="A226" s="29">
        <v>45974</v>
      </c>
      <c r="B226" s="30" t="s">
        <v>22</v>
      </c>
      <c r="C226" s="30">
        <v>0</v>
      </c>
      <c r="D226" s="30">
        <v>0</v>
      </c>
      <c r="E226" s="30">
        <v>0</v>
      </c>
      <c r="F226" s="30">
        <v>1</v>
      </c>
    </row>
    <row r="227" spans="1:15" x14ac:dyDescent="0.35">
      <c r="A227" s="29">
        <v>45975</v>
      </c>
      <c r="B227" s="30" t="s">
        <v>13</v>
      </c>
      <c r="C227" s="30">
        <v>11.5</v>
      </c>
      <c r="D227" s="30">
        <v>0</v>
      </c>
      <c r="E227" s="30">
        <v>0</v>
      </c>
    </row>
    <row r="228" spans="1:15" x14ac:dyDescent="0.35">
      <c r="A228" s="29">
        <v>45975</v>
      </c>
      <c r="B228" s="30" t="s">
        <v>14</v>
      </c>
      <c r="C228" s="30">
        <v>11.5</v>
      </c>
      <c r="D228" s="30">
        <v>0</v>
      </c>
      <c r="E228" s="30">
        <v>0</v>
      </c>
    </row>
    <row r="229" spans="1:15" x14ac:dyDescent="0.35">
      <c r="A229" s="29">
        <v>45975</v>
      </c>
      <c r="B229" s="30" t="s">
        <v>15</v>
      </c>
      <c r="C229" s="30">
        <v>11.5</v>
      </c>
      <c r="D229" s="30">
        <v>0</v>
      </c>
      <c r="E229" s="30">
        <v>0</v>
      </c>
    </row>
    <row r="230" spans="1:15" x14ac:dyDescent="0.35">
      <c r="A230" s="29">
        <v>45975</v>
      </c>
      <c r="B230" s="30" t="s">
        <v>16</v>
      </c>
      <c r="C230" s="30">
        <v>11.5</v>
      </c>
      <c r="D230" s="30">
        <v>0</v>
      </c>
      <c r="E230" s="30">
        <v>0</v>
      </c>
    </row>
    <row r="231" spans="1:15" x14ac:dyDescent="0.35">
      <c r="A231" s="29">
        <v>45975</v>
      </c>
      <c r="B231" s="30" t="s">
        <v>17</v>
      </c>
      <c r="C231" s="30">
        <v>11.5</v>
      </c>
      <c r="D231" s="30">
        <v>0</v>
      </c>
      <c r="E231" s="30">
        <v>0</v>
      </c>
    </row>
    <row r="232" spans="1:15" x14ac:dyDescent="0.35">
      <c r="A232" s="29">
        <v>45975</v>
      </c>
      <c r="B232" s="30" t="s">
        <v>18</v>
      </c>
      <c r="C232" s="30">
        <v>11.5</v>
      </c>
      <c r="D232" s="30">
        <v>0</v>
      </c>
      <c r="E232" s="30">
        <v>0</v>
      </c>
    </row>
    <row r="233" spans="1:15" x14ac:dyDescent="0.35">
      <c r="A233" s="29">
        <v>45975</v>
      </c>
      <c r="B233" s="30" t="s">
        <v>4</v>
      </c>
      <c r="C233" s="30">
        <v>4.7999999999992724</v>
      </c>
      <c r="D233" s="30">
        <v>6.2000000000007276</v>
      </c>
      <c r="E233" s="30">
        <v>0</v>
      </c>
      <c r="F233" s="30">
        <v>0</v>
      </c>
      <c r="O233" s="30" t="s">
        <v>122</v>
      </c>
    </row>
    <row r="234" spans="1:15" x14ac:dyDescent="0.35">
      <c r="A234" s="29">
        <v>45975</v>
      </c>
      <c r="B234" s="30" t="s">
        <v>2</v>
      </c>
      <c r="C234" s="30">
        <v>9</v>
      </c>
      <c r="D234" s="30">
        <v>2</v>
      </c>
      <c r="E234" s="30">
        <v>0</v>
      </c>
      <c r="F234" s="30">
        <v>0</v>
      </c>
      <c r="O234" s="30" t="s">
        <v>128</v>
      </c>
    </row>
    <row r="235" spans="1:15" x14ac:dyDescent="0.35">
      <c r="A235" s="29">
        <v>45975</v>
      </c>
      <c r="B235" s="30" t="s">
        <v>3</v>
      </c>
      <c r="C235" s="30">
        <v>8</v>
      </c>
      <c r="D235" s="30">
        <v>3</v>
      </c>
      <c r="E235" s="30">
        <v>0</v>
      </c>
      <c r="F235" s="30">
        <v>0</v>
      </c>
      <c r="O235" s="30" t="s">
        <v>122</v>
      </c>
    </row>
    <row r="236" spans="1:15" x14ac:dyDescent="0.35">
      <c r="A236" s="29">
        <v>45975</v>
      </c>
      <c r="B236" s="30" t="s">
        <v>5</v>
      </c>
      <c r="C236" s="30">
        <v>0</v>
      </c>
      <c r="D236" s="30">
        <v>0</v>
      </c>
      <c r="E236" s="30">
        <v>11</v>
      </c>
      <c r="F236" s="30">
        <v>0</v>
      </c>
      <c r="O236" s="30" t="s">
        <v>38</v>
      </c>
    </row>
    <row r="237" spans="1:15" x14ac:dyDescent="0.35">
      <c r="A237" s="29">
        <v>45975</v>
      </c>
      <c r="B237" s="30" t="s">
        <v>6</v>
      </c>
      <c r="C237" s="30">
        <v>9</v>
      </c>
      <c r="D237" s="30">
        <v>2</v>
      </c>
      <c r="E237" s="30">
        <v>0</v>
      </c>
      <c r="F237" s="30">
        <v>0</v>
      </c>
      <c r="O237" s="30" t="s">
        <v>122</v>
      </c>
    </row>
    <row r="238" spans="1:15" x14ac:dyDescent="0.35">
      <c r="A238" s="29">
        <v>45975</v>
      </c>
      <c r="B238" s="30" t="s">
        <v>8</v>
      </c>
      <c r="C238" s="30">
        <v>8</v>
      </c>
      <c r="D238" s="30">
        <v>3</v>
      </c>
      <c r="E238" s="30">
        <v>0</v>
      </c>
      <c r="F238" s="30">
        <v>0</v>
      </c>
      <c r="O238" s="30" t="s">
        <v>137</v>
      </c>
    </row>
    <row r="239" spans="1:15" x14ac:dyDescent="0.35">
      <c r="A239" s="29">
        <v>45975</v>
      </c>
      <c r="B239" s="30" t="s">
        <v>7</v>
      </c>
      <c r="C239" s="30">
        <v>0.2000000000007276</v>
      </c>
      <c r="D239" s="30">
        <v>10.799999999999272</v>
      </c>
      <c r="E239" s="30">
        <v>0</v>
      </c>
      <c r="F239" s="30">
        <v>0</v>
      </c>
      <c r="O239" s="30" t="s">
        <v>131</v>
      </c>
    </row>
    <row r="240" spans="1:15" x14ac:dyDescent="0.35">
      <c r="A240" s="29">
        <v>45975</v>
      </c>
      <c r="B240" s="30" t="s">
        <v>9</v>
      </c>
      <c r="C240" s="30">
        <v>11</v>
      </c>
      <c r="D240" s="30">
        <v>0</v>
      </c>
      <c r="E240" s="30">
        <v>0</v>
      </c>
      <c r="F240" s="30">
        <v>0</v>
      </c>
    </row>
    <row r="241" spans="1:15" x14ac:dyDescent="0.35">
      <c r="A241" s="29">
        <v>45975</v>
      </c>
      <c r="B241" s="30" t="s">
        <v>10</v>
      </c>
      <c r="C241" s="30">
        <v>11</v>
      </c>
      <c r="D241" s="30">
        <v>0</v>
      </c>
      <c r="E241" s="30">
        <v>0</v>
      </c>
      <c r="F241" s="30">
        <v>0</v>
      </c>
    </row>
    <row r="242" spans="1:15" x14ac:dyDescent="0.35">
      <c r="A242" s="29">
        <v>45975</v>
      </c>
      <c r="B242" s="30" t="s">
        <v>11</v>
      </c>
      <c r="C242" s="30">
        <v>0</v>
      </c>
      <c r="D242" s="30">
        <v>0</v>
      </c>
      <c r="E242" s="30">
        <v>0</v>
      </c>
      <c r="F242" s="30">
        <v>0</v>
      </c>
    </row>
    <row r="243" spans="1:15" x14ac:dyDescent="0.35">
      <c r="A243" s="29">
        <v>45975</v>
      </c>
      <c r="B243" s="30" t="s">
        <v>21</v>
      </c>
      <c r="C243" s="30">
        <v>0</v>
      </c>
      <c r="D243" s="30">
        <v>0</v>
      </c>
      <c r="E243" s="30">
        <v>0</v>
      </c>
      <c r="F243" s="30">
        <v>1</v>
      </c>
    </row>
    <row r="244" spans="1:15" x14ac:dyDescent="0.35">
      <c r="A244" s="29">
        <v>45975</v>
      </c>
      <c r="B244" s="30" t="s">
        <v>22</v>
      </c>
      <c r="C244" s="30">
        <v>0</v>
      </c>
      <c r="D244" s="30">
        <v>0</v>
      </c>
      <c r="E244" s="30">
        <v>0</v>
      </c>
      <c r="F244" s="30">
        <v>1</v>
      </c>
    </row>
    <row r="245" spans="1:15" x14ac:dyDescent="0.35">
      <c r="A245" s="29">
        <v>45976</v>
      </c>
      <c r="B245" s="30" t="s">
        <v>13</v>
      </c>
      <c r="C245" s="30">
        <v>11.5</v>
      </c>
      <c r="D245" s="30">
        <v>0</v>
      </c>
      <c r="E245" s="30">
        <v>0</v>
      </c>
    </row>
    <row r="246" spans="1:15" x14ac:dyDescent="0.35">
      <c r="A246" s="29">
        <v>45976</v>
      </c>
      <c r="B246" s="30" t="s">
        <v>14</v>
      </c>
      <c r="C246" s="30">
        <v>11.5</v>
      </c>
      <c r="D246" s="30">
        <v>0</v>
      </c>
      <c r="E246" s="30">
        <v>0</v>
      </c>
    </row>
    <row r="247" spans="1:15" x14ac:dyDescent="0.35">
      <c r="A247" s="29">
        <v>45976</v>
      </c>
      <c r="B247" s="30" t="s">
        <v>15</v>
      </c>
      <c r="C247" s="30">
        <v>11.5</v>
      </c>
      <c r="D247" s="30">
        <v>0</v>
      </c>
      <c r="E247" s="30">
        <v>0</v>
      </c>
    </row>
    <row r="248" spans="1:15" x14ac:dyDescent="0.35">
      <c r="A248" s="29">
        <v>45976</v>
      </c>
      <c r="B248" s="30" t="s">
        <v>16</v>
      </c>
      <c r="C248" s="30">
        <v>11.5</v>
      </c>
      <c r="D248" s="30">
        <v>0</v>
      </c>
      <c r="E248" s="30">
        <v>0</v>
      </c>
    </row>
    <row r="249" spans="1:15" x14ac:dyDescent="0.35">
      <c r="A249" s="29">
        <v>45976</v>
      </c>
      <c r="B249" s="30" t="s">
        <v>17</v>
      </c>
      <c r="C249" s="30">
        <v>11.5</v>
      </c>
      <c r="D249" s="30">
        <v>0</v>
      </c>
      <c r="E249" s="30">
        <v>0</v>
      </c>
    </row>
    <row r="250" spans="1:15" x14ac:dyDescent="0.35">
      <c r="A250" s="29">
        <v>45976</v>
      </c>
      <c r="B250" s="30" t="s">
        <v>18</v>
      </c>
      <c r="C250" s="30">
        <v>11.5</v>
      </c>
      <c r="D250" s="30">
        <v>0</v>
      </c>
      <c r="E250" s="30">
        <v>0</v>
      </c>
    </row>
    <row r="251" spans="1:15" x14ac:dyDescent="0.35">
      <c r="A251" s="29">
        <v>45976</v>
      </c>
      <c r="B251" s="30" t="s">
        <v>4</v>
      </c>
      <c r="C251" s="30">
        <v>1.7000000000007276</v>
      </c>
      <c r="D251" s="30">
        <v>9.2999999999992724</v>
      </c>
      <c r="E251" s="30">
        <v>0</v>
      </c>
      <c r="F251" s="30">
        <v>0</v>
      </c>
      <c r="O251" s="30" t="s">
        <v>122</v>
      </c>
    </row>
    <row r="252" spans="1:15" x14ac:dyDescent="0.35">
      <c r="A252" s="29">
        <v>45976</v>
      </c>
      <c r="B252" s="30" t="s">
        <v>2</v>
      </c>
      <c r="C252" s="30">
        <v>9</v>
      </c>
      <c r="D252" s="30">
        <v>2</v>
      </c>
      <c r="E252" s="30">
        <v>0</v>
      </c>
      <c r="F252" s="30">
        <v>0</v>
      </c>
      <c r="O252" s="30" t="s">
        <v>128</v>
      </c>
    </row>
    <row r="253" spans="1:15" x14ac:dyDescent="0.35">
      <c r="A253" s="29">
        <v>45976</v>
      </c>
      <c r="B253" s="30" t="s">
        <v>3</v>
      </c>
      <c r="C253" s="30">
        <v>8</v>
      </c>
      <c r="D253" s="30">
        <v>3</v>
      </c>
      <c r="E253" s="30">
        <v>0</v>
      </c>
      <c r="F253" s="30">
        <v>0</v>
      </c>
      <c r="O253" s="30" t="s">
        <v>122</v>
      </c>
    </row>
    <row r="254" spans="1:15" x14ac:dyDescent="0.35">
      <c r="A254" s="29">
        <v>45976</v>
      </c>
      <c r="B254" s="30" t="s">
        <v>5</v>
      </c>
      <c r="C254" s="30">
        <v>0</v>
      </c>
      <c r="D254" s="30">
        <v>0</v>
      </c>
      <c r="E254" s="30">
        <v>11</v>
      </c>
      <c r="F254" s="30">
        <v>0</v>
      </c>
      <c r="O254" s="30" t="s">
        <v>38</v>
      </c>
    </row>
    <row r="255" spans="1:15" x14ac:dyDescent="0.35">
      <c r="A255" s="29">
        <v>45976</v>
      </c>
      <c r="B255" s="30" t="s">
        <v>6</v>
      </c>
      <c r="C255" s="30">
        <v>9.5</v>
      </c>
      <c r="D255" s="30">
        <v>1.5</v>
      </c>
      <c r="E255" s="30">
        <v>0</v>
      </c>
      <c r="F255" s="30">
        <v>0</v>
      </c>
      <c r="O255" s="30" t="s">
        <v>122</v>
      </c>
    </row>
    <row r="256" spans="1:15" x14ac:dyDescent="0.35">
      <c r="A256" s="29">
        <v>45976</v>
      </c>
      <c r="B256" s="30" t="s">
        <v>8</v>
      </c>
      <c r="C256" s="30">
        <v>7</v>
      </c>
      <c r="D256" s="30">
        <v>4</v>
      </c>
      <c r="E256" s="30">
        <v>0</v>
      </c>
      <c r="F256" s="30">
        <v>0</v>
      </c>
      <c r="O256" s="30" t="s">
        <v>137</v>
      </c>
    </row>
    <row r="257" spans="1:15" x14ac:dyDescent="0.35">
      <c r="A257" s="29">
        <v>45976</v>
      </c>
      <c r="B257" s="30" t="s">
        <v>7</v>
      </c>
      <c r="C257" s="30">
        <v>0.7999999999992724</v>
      </c>
      <c r="D257" s="30">
        <v>10.200000000000728</v>
      </c>
      <c r="E257" s="30">
        <v>0</v>
      </c>
      <c r="F257" s="30">
        <v>0</v>
      </c>
      <c r="O257" s="30" t="s">
        <v>131</v>
      </c>
    </row>
    <row r="258" spans="1:15" x14ac:dyDescent="0.35">
      <c r="A258" s="29">
        <v>45976</v>
      </c>
      <c r="B258" s="30" t="s">
        <v>9</v>
      </c>
      <c r="C258" s="30">
        <v>11</v>
      </c>
      <c r="D258" s="30">
        <v>0</v>
      </c>
      <c r="E258" s="30">
        <v>0</v>
      </c>
      <c r="F258" s="30">
        <v>0</v>
      </c>
    </row>
    <row r="259" spans="1:15" x14ac:dyDescent="0.35">
      <c r="A259" s="29">
        <v>45976</v>
      </c>
      <c r="B259" s="30" t="s">
        <v>10</v>
      </c>
      <c r="C259" s="30">
        <v>11</v>
      </c>
      <c r="D259" s="30">
        <v>0</v>
      </c>
      <c r="E259" s="30">
        <v>0</v>
      </c>
      <c r="F259" s="30">
        <v>0</v>
      </c>
    </row>
    <row r="260" spans="1:15" x14ac:dyDescent="0.35">
      <c r="A260" s="29">
        <v>45976</v>
      </c>
      <c r="B260" s="30" t="s">
        <v>11</v>
      </c>
      <c r="C260" s="30">
        <v>0</v>
      </c>
      <c r="D260" s="30">
        <v>0</v>
      </c>
      <c r="E260" s="30">
        <v>0</v>
      </c>
      <c r="F260" s="30">
        <v>0</v>
      </c>
    </row>
    <row r="261" spans="1:15" x14ac:dyDescent="0.35">
      <c r="A261" s="29">
        <v>45976</v>
      </c>
      <c r="B261" s="30" t="s">
        <v>21</v>
      </c>
      <c r="C261" s="30">
        <v>0</v>
      </c>
      <c r="D261" s="30">
        <v>0</v>
      </c>
      <c r="E261" s="30">
        <v>0</v>
      </c>
      <c r="F261" s="30">
        <v>1</v>
      </c>
    </row>
    <row r="262" spans="1:15" x14ac:dyDescent="0.35">
      <c r="A262" s="29">
        <v>45976</v>
      </c>
      <c r="B262" s="30" t="s">
        <v>22</v>
      </c>
      <c r="C262" s="30">
        <v>0</v>
      </c>
      <c r="D262" s="30">
        <v>0</v>
      </c>
      <c r="E262" s="30">
        <v>0</v>
      </c>
      <c r="F262" s="30">
        <v>1</v>
      </c>
    </row>
    <row r="263" spans="1:15" x14ac:dyDescent="0.35">
      <c r="A263" s="29">
        <v>45977</v>
      </c>
      <c r="B263" s="30" t="s">
        <v>13</v>
      </c>
      <c r="C263" s="30">
        <v>10</v>
      </c>
      <c r="D263" s="30">
        <v>0</v>
      </c>
      <c r="E263" s="30">
        <v>0</v>
      </c>
    </row>
    <row r="264" spans="1:15" x14ac:dyDescent="0.35">
      <c r="A264" s="29">
        <v>45977</v>
      </c>
      <c r="B264" s="30" t="s">
        <v>14</v>
      </c>
      <c r="C264" s="30">
        <v>10</v>
      </c>
      <c r="D264" s="30">
        <v>0</v>
      </c>
      <c r="E264" s="30">
        <v>0</v>
      </c>
    </row>
    <row r="265" spans="1:15" x14ac:dyDescent="0.35">
      <c r="A265" s="29">
        <v>45977</v>
      </c>
      <c r="B265" s="30" t="s">
        <v>15</v>
      </c>
      <c r="C265" s="30">
        <v>10</v>
      </c>
      <c r="D265" s="30">
        <v>0</v>
      </c>
      <c r="E265" s="30">
        <v>0</v>
      </c>
    </row>
    <row r="266" spans="1:15" x14ac:dyDescent="0.35">
      <c r="A266" s="29">
        <v>45977</v>
      </c>
      <c r="B266" s="30" t="s">
        <v>16</v>
      </c>
      <c r="C266" s="30">
        <v>10</v>
      </c>
      <c r="D266" s="30">
        <v>0</v>
      </c>
      <c r="E266" s="30">
        <v>0</v>
      </c>
    </row>
    <row r="267" spans="1:15" x14ac:dyDescent="0.35">
      <c r="A267" s="29">
        <v>45977</v>
      </c>
      <c r="B267" s="30" t="s">
        <v>17</v>
      </c>
      <c r="C267" s="30">
        <v>10</v>
      </c>
      <c r="D267" s="30">
        <v>0</v>
      </c>
      <c r="E267" s="30">
        <v>0</v>
      </c>
    </row>
    <row r="268" spans="1:15" x14ac:dyDescent="0.35">
      <c r="A268" s="29">
        <v>45977</v>
      </c>
      <c r="B268" s="30" t="s">
        <v>18</v>
      </c>
      <c r="C268" s="30">
        <v>10</v>
      </c>
      <c r="D268" s="30">
        <v>0</v>
      </c>
      <c r="E268" s="30">
        <v>0</v>
      </c>
    </row>
    <row r="269" spans="1:15" x14ac:dyDescent="0.35">
      <c r="A269" s="29">
        <v>45977</v>
      </c>
      <c r="B269" s="30" t="s">
        <v>4</v>
      </c>
      <c r="C269" s="30">
        <v>9.9999999998544808E-2</v>
      </c>
      <c r="D269" s="30">
        <v>10.900000000001455</v>
      </c>
      <c r="E269" s="30">
        <v>0</v>
      </c>
      <c r="F269" s="30">
        <v>0</v>
      </c>
      <c r="O269" s="30" t="s">
        <v>122</v>
      </c>
    </row>
    <row r="270" spans="1:15" x14ac:dyDescent="0.35">
      <c r="A270" s="29">
        <v>45977</v>
      </c>
      <c r="B270" s="30" t="s">
        <v>2</v>
      </c>
      <c r="C270" s="30">
        <v>0</v>
      </c>
      <c r="D270" s="30">
        <v>11</v>
      </c>
      <c r="E270" s="30">
        <v>0</v>
      </c>
      <c r="F270" s="30">
        <v>0</v>
      </c>
      <c r="O270" s="30" t="s">
        <v>128</v>
      </c>
    </row>
    <row r="271" spans="1:15" x14ac:dyDescent="0.35">
      <c r="A271" s="29">
        <v>45977</v>
      </c>
      <c r="B271" s="30" t="s">
        <v>3</v>
      </c>
      <c r="C271" s="30">
        <v>0</v>
      </c>
      <c r="D271" s="30">
        <v>11</v>
      </c>
      <c r="E271" s="30">
        <v>0</v>
      </c>
      <c r="F271" s="30">
        <v>0</v>
      </c>
      <c r="O271" s="30" t="s">
        <v>122</v>
      </c>
    </row>
    <row r="272" spans="1:15" x14ac:dyDescent="0.35">
      <c r="A272" s="29">
        <v>45977</v>
      </c>
      <c r="B272" s="30" t="s">
        <v>5</v>
      </c>
      <c r="C272" s="30">
        <v>0</v>
      </c>
      <c r="D272" s="30">
        <v>0</v>
      </c>
      <c r="E272" s="30">
        <v>11</v>
      </c>
      <c r="F272" s="30">
        <v>0</v>
      </c>
      <c r="O272" s="30" t="s">
        <v>38</v>
      </c>
    </row>
    <row r="273" spans="1:16" x14ac:dyDescent="0.35">
      <c r="A273" s="29">
        <v>45977</v>
      </c>
      <c r="B273" s="30" t="s">
        <v>6</v>
      </c>
      <c r="C273" s="30">
        <v>0.5</v>
      </c>
      <c r="D273" s="30">
        <v>10.5</v>
      </c>
      <c r="E273" s="30">
        <v>0</v>
      </c>
      <c r="F273" s="30">
        <v>0</v>
      </c>
      <c r="O273" s="30" t="s">
        <v>122</v>
      </c>
    </row>
    <row r="274" spans="1:16" x14ac:dyDescent="0.35">
      <c r="A274" s="29">
        <v>45977</v>
      </c>
      <c r="B274" s="30" t="s">
        <v>8</v>
      </c>
      <c r="C274" s="30">
        <v>1</v>
      </c>
      <c r="D274" s="30">
        <v>10</v>
      </c>
      <c r="E274" s="30">
        <v>0</v>
      </c>
      <c r="F274" s="30">
        <v>0</v>
      </c>
      <c r="O274" s="30" t="s">
        <v>137</v>
      </c>
    </row>
    <row r="275" spans="1:16" x14ac:dyDescent="0.35">
      <c r="A275" s="29">
        <v>45977</v>
      </c>
      <c r="B275" s="30" t="s">
        <v>7</v>
      </c>
      <c r="C275" s="30">
        <v>0</v>
      </c>
      <c r="D275" s="30">
        <v>11</v>
      </c>
      <c r="E275" s="30">
        <v>0</v>
      </c>
      <c r="F275" s="30">
        <v>0</v>
      </c>
      <c r="O275" s="30" t="s">
        <v>131</v>
      </c>
    </row>
    <row r="276" spans="1:16" x14ac:dyDescent="0.35">
      <c r="A276" s="29">
        <v>45977</v>
      </c>
      <c r="B276" s="30" t="s">
        <v>9</v>
      </c>
      <c r="C276" s="30">
        <v>11</v>
      </c>
      <c r="D276" s="30">
        <v>0</v>
      </c>
      <c r="E276" s="30">
        <v>0</v>
      </c>
      <c r="F276" s="30">
        <v>0</v>
      </c>
    </row>
    <row r="277" spans="1:16" x14ac:dyDescent="0.35">
      <c r="A277" s="29">
        <v>45977</v>
      </c>
      <c r="B277" s="30" t="s">
        <v>10</v>
      </c>
      <c r="C277" s="30">
        <v>11</v>
      </c>
      <c r="D277" s="30">
        <v>0</v>
      </c>
      <c r="E277" s="30">
        <v>0</v>
      </c>
      <c r="F277" s="30">
        <v>0</v>
      </c>
    </row>
    <row r="278" spans="1:16" x14ac:dyDescent="0.35">
      <c r="A278" s="29">
        <v>45977</v>
      </c>
      <c r="B278" s="30" t="s">
        <v>11</v>
      </c>
      <c r="C278" s="30">
        <v>0</v>
      </c>
      <c r="D278" s="30">
        <v>0</v>
      </c>
      <c r="E278" s="30">
        <v>0</v>
      </c>
      <c r="F278" s="30">
        <v>0</v>
      </c>
    </row>
    <row r="279" spans="1:16" x14ac:dyDescent="0.35">
      <c r="A279" s="29">
        <v>45977</v>
      </c>
      <c r="B279" s="30" t="s">
        <v>21</v>
      </c>
      <c r="C279" s="30">
        <v>0</v>
      </c>
      <c r="D279" s="30">
        <v>0</v>
      </c>
      <c r="E279" s="30">
        <v>0</v>
      </c>
      <c r="F279" s="30">
        <v>1</v>
      </c>
    </row>
    <row r="280" spans="1:16" x14ac:dyDescent="0.35">
      <c r="A280" s="29">
        <v>45977</v>
      </c>
      <c r="B280" s="30" t="s">
        <v>22</v>
      </c>
      <c r="C280" s="30">
        <v>0</v>
      </c>
      <c r="D280" s="30">
        <v>0</v>
      </c>
      <c r="E280" s="30">
        <v>0</v>
      </c>
      <c r="F280" s="30">
        <v>1</v>
      </c>
    </row>
    <row r="281" spans="1:16" x14ac:dyDescent="0.35">
      <c r="A281" s="29">
        <v>45978</v>
      </c>
      <c r="B281" s="30" t="s">
        <v>13</v>
      </c>
      <c r="C281" s="30">
        <v>0</v>
      </c>
      <c r="D281" s="30">
        <v>0</v>
      </c>
      <c r="E281" s="30">
        <v>0</v>
      </c>
    </row>
    <row r="282" spans="1:16" x14ac:dyDescent="0.35">
      <c r="A282" s="29">
        <v>45978</v>
      </c>
      <c r="B282" s="30" t="s">
        <v>14</v>
      </c>
      <c r="C282" s="30">
        <v>0</v>
      </c>
      <c r="D282" s="30">
        <v>0</v>
      </c>
      <c r="E282" s="30">
        <v>0</v>
      </c>
    </row>
    <row r="283" spans="1:16" x14ac:dyDescent="0.35">
      <c r="A283" s="29">
        <v>45978</v>
      </c>
      <c r="B283" s="30" t="s">
        <v>15</v>
      </c>
      <c r="C283" s="30">
        <v>0</v>
      </c>
      <c r="D283" s="30">
        <v>0</v>
      </c>
      <c r="E283" s="30">
        <v>0</v>
      </c>
    </row>
    <row r="284" spans="1:16" x14ac:dyDescent="0.35">
      <c r="A284" s="29">
        <v>45978</v>
      </c>
      <c r="B284" s="30" t="s">
        <v>16</v>
      </c>
      <c r="C284" s="30">
        <v>0</v>
      </c>
      <c r="D284" s="30">
        <v>0</v>
      </c>
      <c r="E284" s="30">
        <v>0</v>
      </c>
    </row>
    <row r="285" spans="1:16" x14ac:dyDescent="0.35">
      <c r="A285" s="29">
        <v>45978</v>
      </c>
      <c r="B285" s="30" t="s">
        <v>17</v>
      </c>
      <c r="C285" s="30">
        <v>0</v>
      </c>
      <c r="D285" s="30">
        <v>0</v>
      </c>
      <c r="E285" s="30">
        <v>0</v>
      </c>
    </row>
    <row r="286" spans="1:16" x14ac:dyDescent="0.35">
      <c r="A286" s="29">
        <v>45978</v>
      </c>
      <c r="B286" s="30" t="s">
        <v>18</v>
      </c>
      <c r="C286" s="30">
        <v>0</v>
      </c>
      <c r="D286" s="30">
        <v>0</v>
      </c>
      <c r="E286" s="30">
        <v>0</v>
      </c>
    </row>
    <row r="287" spans="1:16" x14ac:dyDescent="0.35">
      <c r="A287" s="29">
        <v>45978</v>
      </c>
      <c r="B287" s="30" t="s">
        <v>4</v>
      </c>
      <c r="C287" s="44">
        <v>0</v>
      </c>
      <c r="D287" s="44">
        <v>0</v>
      </c>
      <c r="E287" s="44">
        <v>0</v>
      </c>
      <c r="F287" s="44">
        <v>0</v>
      </c>
      <c r="G287" s="44"/>
      <c r="H287" s="44"/>
      <c r="I287" s="44"/>
      <c r="J287" s="44"/>
      <c r="K287" s="44"/>
      <c r="L287" s="44"/>
      <c r="M287" s="44"/>
      <c r="N287" s="44"/>
      <c r="O287" s="44" t="s">
        <v>142</v>
      </c>
      <c r="P287" s="44"/>
    </row>
    <row r="288" spans="1:16" x14ac:dyDescent="0.35">
      <c r="A288" s="29">
        <v>45978</v>
      </c>
      <c r="B288" s="30" t="s">
        <v>2</v>
      </c>
      <c r="C288" s="30">
        <v>0</v>
      </c>
      <c r="D288" s="30">
        <v>0</v>
      </c>
      <c r="E288" s="30">
        <v>0</v>
      </c>
      <c r="F288" s="30">
        <v>0</v>
      </c>
      <c r="O288" s="30" t="s">
        <v>142</v>
      </c>
    </row>
    <row r="289" spans="1:15" x14ac:dyDescent="0.35">
      <c r="A289" s="29">
        <v>45978</v>
      </c>
      <c r="B289" s="30" t="s">
        <v>3</v>
      </c>
      <c r="C289" s="30">
        <v>0</v>
      </c>
      <c r="D289" s="30">
        <v>0</v>
      </c>
      <c r="E289" s="30">
        <v>0</v>
      </c>
      <c r="F289" s="30">
        <v>0</v>
      </c>
      <c r="O289" s="30" t="s">
        <v>142</v>
      </c>
    </row>
    <row r="290" spans="1:15" x14ac:dyDescent="0.35">
      <c r="A290" s="29">
        <v>45978</v>
      </c>
      <c r="B290" s="30" t="s">
        <v>5</v>
      </c>
      <c r="C290" s="30">
        <v>0</v>
      </c>
      <c r="D290" s="30">
        <v>0</v>
      </c>
      <c r="E290" s="30">
        <v>0</v>
      </c>
      <c r="F290" s="30">
        <v>0</v>
      </c>
      <c r="O290" s="30" t="s">
        <v>142</v>
      </c>
    </row>
    <row r="291" spans="1:15" x14ac:dyDescent="0.35">
      <c r="A291" s="29">
        <v>45978</v>
      </c>
      <c r="B291" s="30" t="s">
        <v>6</v>
      </c>
      <c r="C291" s="30">
        <v>0</v>
      </c>
      <c r="D291" s="30">
        <v>0</v>
      </c>
      <c r="E291" s="30">
        <v>0</v>
      </c>
      <c r="F291" s="30">
        <v>0</v>
      </c>
      <c r="O291" s="30" t="s">
        <v>142</v>
      </c>
    </row>
    <row r="292" spans="1:15" x14ac:dyDescent="0.35">
      <c r="A292" s="29">
        <v>45978</v>
      </c>
      <c r="B292" s="30" t="s">
        <v>8</v>
      </c>
      <c r="C292" s="30">
        <v>0</v>
      </c>
      <c r="D292" s="30">
        <v>0</v>
      </c>
      <c r="E292" s="30">
        <v>0</v>
      </c>
      <c r="F292" s="30">
        <v>0</v>
      </c>
      <c r="O292" s="30" t="s">
        <v>142</v>
      </c>
    </row>
    <row r="293" spans="1:15" x14ac:dyDescent="0.35">
      <c r="A293" s="119">
        <v>45978</v>
      </c>
      <c r="B293" s="30" t="s">
        <v>7</v>
      </c>
      <c r="C293" s="30">
        <v>0</v>
      </c>
      <c r="D293" s="30">
        <v>0</v>
      </c>
      <c r="E293" s="30">
        <v>0</v>
      </c>
      <c r="F293" s="30">
        <v>0</v>
      </c>
      <c r="O293" s="30" t="s">
        <v>142</v>
      </c>
    </row>
    <row r="294" spans="1:15" x14ac:dyDescent="0.35">
      <c r="A294" s="119">
        <v>45978</v>
      </c>
      <c r="B294" s="30" t="s">
        <v>9</v>
      </c>
      <c r="C294" s="30">
        <v>0</v>
      </c>
      <c r="D294" s="30">
        <v>0</v>
      </c>
      <c r="E294" s="30">
        <v>0</v>
      </c>
      <c r="F294" s="30">
        <v>0</v>
      </c>
    </row>
    <row r="295" spans="1:15" x14ac:dyDescent="0.35">
      <c r="A295" s="119">
        <v>45978</v>
      </c>
      <c r="B295" s="30" t="s">
        <v>10</v>
      </c>
      <c r="C295" s="30">
        <v>0</v>
      </c>
      <c r="D295" s="30">
        <v>0</v>
      </c>
      <c r="E295" s="30">
        <v>0</v>
      </c>
      <c r="F295" s="30">
        <v>0</v>
      </c>
    </row>
    <row r="296" spans="1:15" x14ac:dyDescent="0.35">
      <c r="A296" s="119">
        <v>45978</v>
      </c>
      <c r="B296" s="30" t="s">
        <v>11</v>
      </c>
      <c r="C296" s="30">
        <v>0</v>
      </c>
      <c r="D296" s="30">
        <v>0</v>
      </c>
      <c r="E296" s="30">
        <v>0</v>
      </c>
      <c r="F296" s="30">
        <v>0</v>
      </c>
    </row>
    <row r="297" spans="1:15" x14ac:dyDescent="0.35">
      <c r="A297" s="119">
        <v>45978</v>
      </c>
      <c r="B297" s="30" t="s">
        <v>21</v>
      </c>
      <c r="C297" s="30">
        <v>0</v>
      </c>
      <c r="D297" s="30">
        <v>0</v>
      </c>
      <c r="E297" s="30">
        <v>0</v>
      </c>
      <c r="F297" s="30">
        <v>0</v>
      </c>
      <c r="O297" s="30" t="s">
        <v>143</v>
      </c>
    </row>
    <row r="298" spans="1:15" x14ac:dyDescent="0.35">
      <c r="A298" s="119">
        <v>45978</v>
      </c>
      <c r="B298" s="30" t="s">
        <v>22</v>
      </c>
      <c r="C298" s="30">
        <v>0</v>
      </c>
      <c r="D298" s="30">
        <v>0</v>
      </c>
      <c r="E298" s="30">
        <v>0</v>
      </c>
      <c r="F298" s="30">
        <v>0</v>
      </c>
      <c r="O298" s="30" t="s">
        <v>143</v>
      </c>
    </row>
    <row r="299" spans="1:15" x14ac:dyDescent="0.35">
      <c r="A299" s="119">
        <v>45985</v>
      </c>
      <c r="B299" s="30" t="s">
        <v>13</v>
      </c>
      <c r="C299" s="30">
        <v>10</v>
      </c>
      <c r="D299" s="30">
        <v>0</v>
      </c>
      <c r="E299" s="30">
        <v>0</v>
      </c>
    </row>
    <row r="300" spans="1:15" x14ac:dyDescent="0.35">
      <c r="A300" s="119">
        <v>45985</v>
      </c>
      <c r="B300" s="30" t="s">
        <v>14</v>
      </c>
      <c r="C300" s="30">
        <v>10</v>
      </c>
      <c r="D300" s="30">
        <v>0</v>
      </c>
      <c r="E300" s="30">
        <v>0</v>
      </c>
    </row>
    <row r="301" spans="1:15" x14ac:dyDescent="0.35">
      <c r="A301" s="119">
        <v>45985</v>
      </c>
      <c r="B301" s="30" t="s">
        <v>15</v>
      </c>
      <c r="C301" s="30">
        <v>10</v>
      </c>
      <c r="D301" s="30">
        <v>0</v>
      </c>
      <c r="E301" s="30">
        <v>0</v>
      </c>
    </row>
    <row r="302" spans="1:15" x14ac:dyDescent="0.35">
      <c r="A302" s="119">
        <v>45985</v>
      </c>
      <c r="B302" s="30" t="s">
        <v>16</v>
      </c>
      <c r="C302" s="30">
        <v>10</v>
      </c>
      <c r="D302" s="30">
        <v>0</v>
      </c>
      <c r="E302" s="30">
        <v>0</v>
      </c>
    </row>
    <row r="303" spans="1:15" x14ac:dyDescent="0.35">
      <c r="A303" s="119">
        <v>45985</v>
      </c>
      <c r="B303" s="30" t="s">
        <v>17</v>
      </c>
      <c r="C303" s="30">
        <v>10</v>
      </c>
      <c r="D303" s="30">
        <v>0</v>
      </c>
      <c r="E303" s="30">
        <v>0</v>
      </c>
    </row>
    <row r="304" spans="1:15" x14ac:dyDescent="0.35">
      <c r="A304" s="119">
        <v>45985</v>
      </c>
      <c r="B304" s="30" t="s">
        <v>18</v>
      </c>
      <c r="C304" s="30">
        <v>10</v>
      </c>
      <c r="D304" s="30">
        <v>0</v>
      </c>
      <c r="E304" s="30">
        <v>0</v>
      </c>
    </row>
    <row r="305" spans="1:15" x14ac:dyDescent="0.35">
      <c r="A305" s="119">
        <v>45985</v>
      </c>
      <c r="B305" s="30" t="s">
        <v>20</v>
      </c>
      <c r="C305" s="30">
        <v>0</v>
      </c>
      <c r="D305" s="30">
        <v>0</v>
      </c>
      <c r="E305" s="30">
        <v>0</v>
      </c>
      <c r="L305" s="30">
        <v>1</v>
      </c>
      <c r="M305" s="30">
        <v>1</v>
      </c>
      <c r="N305" s="30">
        <v>1</v>
      </c>
    </row>
    <row r="306" spans="1:15" x14ac:dyDescent="0.35">
      <c r="A306" s="119">
        <v>45985</v>
      </c>
      <c r="B306" s="30" t="s">
        <v>4</v>
      </c>
      <c r="C306" s="30">
        <v>0.2999999999992724</v>
      </c>
      <c r="D306" s="30">
        <v>0.7</v>
      </c>
      <c r="E306" s="30">
        <v>0</v>
      </c>
      <c r="F306" s="30">
        <v>0</v>
      </c>
      <c r="O306" s="30" t="s">
        <v>150</v>
      </c>
    </row>
    <row r="307" spans="1:15" x14ac:dyDescent="0.35">
      <c r="A307" s="119">
        <v>45985</v>
      </c>
      <c r="B307" s="30" t="s">
        <v>2</v>
      </c>
      <c r="C307" s="30">
        <v>4</v>
      </c>
      <c r="D307" s="30">
        <v>6</v>
      </c>
      <c r="E307" s="30">
        <v>0</v>
      </c>
      <c r="F307" s="30">
        <v>0</v>
      </c>
      <c r="O307" s="30" t="s">
        <v>151</v>
      </c>
    </row>
    <row r="308" spans="1:15" x14ac:dyDescent="0.35">
      <c r="A308" s="119">
        <v>45985</v>
      </c>
      <c r="B308" s="30" t="s">
        <v>3</v>
      </c>
      <c r="C308" s="30">
        <v>2</v>
      </c>
      <c r="D308" s="30">
        <v>8</v>
      </c>
      <c r="E308" s="30">
        <v>0</v>
      </c>
      <c r="F308" s="30">
        <v>0</v>
      </c>
      <c r="O308" s="30" t="s">
        <v>152</v>
      </c>
    </row>
    <row r="309" spans="1:15" x14ac:dyDescent="0.35">
      <c r="A309" s="119">
        <v>45985</v>
      </c>
      <c r="B309" s="30" t="s">
        <v>5</v>
      </c>
      <c r="C309" s="30">
        <v>0</v>
      </c>
      <c r="D309" s="30">
        <v>0</v>
      </c>
      <c r="E309" s="30">
        <v>10</v>
      </c>
      <c r="F309" s="30">
        <v>0</v>
      </c>
      <c r="O309" s="30" t="s">
        <v>38</v>
      </c>
    </row>
    <row r="310" spans="1:15" x14ac:dyDescent="0.35">
      <c r="A310" s="119">
        <v>45985</v>
      </c>
      <c r="B310" s="30" t="s">
        <v>6</v>
      </c>
      <c r="C310" s="30">
        <v>3.5</v>
      </c>
      <c r="D310" s="30">
        <v>6.5</v>
      </c>
      <c r="E310" s="30">
        <v>0</v>
      </c>
      <c r="F310" s="30">
        <v>0</v>
      </c>
      <c r="O310" s="30" t="s">
        <v>153</v>
      </c>
    </row>
    <row r="311" spans="1:15" x14ac:dyDescent="0.35">
      <c r="A311" s="119">
        <v>45985</v>
      </c>
      <c r="B311" s="30" t="s">
        <v>8</v>
      </c>
      <c r="C311" s="30">
        <v>5</v>
      </c>
      <c r="D311" s="30">
        <v>5</v>
      </c>
      <c r="E311" s="30">
        <v>0</v>
      </c>
      <c r="F311" s="30">
        <v>0</v>
      </c>
      <c r="O311" s="30" t="s">
        <v>137</v>
      </c>
    </row>
    <row r="312" spans="1:15" x14ac:dyDescent="0.35">
      <c r="A312" s="119">
        <v>45985</v>
      </c>
      <c r="B312" s="30" t="s">
        <v>7</v>
      </c>
      <c r="C312" s="30">
        <v>0</v>
      </c>
      <c r="D312" s="30">
        <v>10</v>
      </c>
      <c r="E312" s="30">
        <v>0</v>
      </c>
      <c r="F312" s="30">
        <v>0</v>
      </c>
      <c r="O312" s="30" t="s">
        <v>154</v>
      </c>
    </row>
    <row r="313" spans="1:15" x14ac:dyDescent="0.35">
      <c r="A313" s="119">
        <v>45985</v>
      </c>
      <c r="B313" s="30" t="s">
        <v>9</v>
      </c>
      <c r="C313" s="30">
        <v>11</v>
      </c>
      <c r="D313" s="30">
        <v>0</v>
      </c>
      <c r="E313" s="30">
        <v>0</v>
      </c>
      <c r="F313" s="30">
        <v>0</v>
      </c>
    </row>
    <row r="314" spans="1:15" x14ac:dyDescent="0.35">
      <c r="A314" s="119">
        <v>45985</v>
      </c>
      <c r="B314" s="30" t="s">
        <v>10</v>
      </c>
      <c r="C314" s="30">
        <v>11</v>
      </c>
      <c r="D314" s="30">
        <v>0</v>
      </c>
      <c r="E314" s="30">
        <v>0</v>
      </c>
      <c r="F314" s="30">
        <v>0</v>
      </c>
    </row>
    <row r="315" spans="1:15" x14ac:dyDescent="0.35">
      <c r="A315" s="119">
        <v>45985</v>
      </c>
      <c r="B315" s="30" t="s">
        <v>11</v>
      </c>
      <c r="C315" s="30">
        <v>11</v>
      </c>
      <c r="D315" s="30">
        <v>0</v>
      </c>
      <c r="E315" s="30">
        <v>0</v>
      </c>
      <c r="F315" s="30">
        <v>0</v>
      </c>
    </row>
    <row r="316" spans="1:15" x14ac:dyDescent="0.35">
      <c r="A316" s="119">
        <v>45985</v>
      </c>
      <c r="B316" s="30" t="s">
        <v>21</v>
      </c>
      <c r="C316" s="30">
        <v>0</v>
      </c>
      <c r="D316" s="30">
        <v>0</v>
      </c>
      <c r="E316" s="30">
        <v>0</v>
      </c>
      <c r="F316" s="30">
        <v>1</v>
      </c>
    </row>
    <row r="317" spans="1:15" x14ac:dyDescent="0.35">
      <c r="A317" s="119">
        <v>45985</v>
      </c>
      <c r="B317" s="30" t="s">
        <v>22</v>
      </c>
      <c r="C317" s="30">
        <v>0</v>
      </c>
      <c r="D317" s="30">
        <v>0</v>
      </c>
      <c r="E317" s="30">
        <v>0</v>
      </c>
      <c r="F317" s="30">
        <v>1</v>
      </c>
    </row>
    <row r="318" spans="1:15" x14ac:dyDescent="0.35">
      <c r="A318" s="119">
        <v>45986</v>
      </c>
      <c r="B318" s="30" t="s">
        <v>13</v>
      </c>
      <c r="C318" s="30">
        <v>11.5</v>
      </c>
      <c r="D318" s="30">
        <v>0</v>
      </c>
      <c r="E318" s="30">
        <v>0</v>
      </c>
    </row>
    <row r="319" spans="1:15" x14ac:dyDescent="0.35">
      <c r="A319" s="119">
        <v>45986</v>
      </c>
      <c r="B319" s="30" t="s">
        <v>14</v>
      </c>
      <c r="C319" s="30">
        <v>11.5</v>
      </c>
      <c r="D319" s="30">
        <v>0</v>
      </c>
      <c r="E319" s="30">
        <v>0</v>
      </c>
    </row>
    <row r="320" spans="1:15" x14ac:dyDescent="0.35">
      <c r="A320" s="119">
        <v>45986</v>
      </c>
      <c r="B320" s="30" t="s">
        <v>15</v>
      </c>
      <c r="C320" s="30">
        <v>11.5</v>
      </c>
      <c r="D320" s="30">
        <v>0</v>
      </c>
      <c r="E320" s="30">
        <v>0</v>
      </c>
    </row>
    <row r="321" spans="1:15" x14ac:dyDescent="0.35">
      <c r="A321" s="119">
        <v>45986</v>
      </c>
      <c r="B321" s="30" t="s">
        <v>16</v>
      </c>
      <c r="C321" s="30">
        <v>11.5</v>
      </c>
      <c r="D321" s="30">
        <v>0</v>
      </c>
      <c r="E321" s="30">
        <v>0</v>
      </c>
    </row>
    <row r="322" spans="1:15" x14ac:dyDescent="0.35">
      <c r="A322" s="119">
        <v>45986</v>
      </c>
      <c r="B322" s="30" t="s">
        <v>17</v>
      </c>
      <c r="C322" s="30">
        <v>11.5</v>
      </c>
      <c r="D322" s="30">
        <v>0</v>
      </c>
      <c r="E322" s="30">
        <v>0</v>
      </c>
    </row>
    <row r="323" spans="1:15" x14ac:dyDescent="0.35">
      <c r="A323" s="119">
        <v>45986</v>
      </c>
      <c r="B323" s="30" t="s">
        <v>18</v>
      </c>
      <c r="C323" s="30">
        <v>11.5</v>
      </c>
      <c r="D323" s="30">
        <v>0</v>
      </c>
      <c r="E323" s="30">
        <v>0</v>
      </c>
    </row>
    <row r="324" spans="1:15" x14ac:dyDescent="0.35">
      <c r="A324" s="119">
        <v>45986</v>
      </c>
      <c r="B324" s="30" t="s">
        <v>20</v>
      </c>
      <c r="C324" s="30">
        <v>11.5</v>
      </c>
      <c r="D324" s="30">
        <v>0</v>
      </c>
      <c r="E324" s="30">
        <v>0</v>
      </c>
    </row>
    <row r="325" spans="1:15" x14ac:dyDescent="0.35">
      <c r="A325" s="119">
        <v>45986</v>
      </c>
      <c r="B325" s="30" t="s">
        <v>4</v>
      </c>
      <c r="C325" s="30">
        <v>1.2999999999992724</v>
      </c>
      <c r="D325" s="30">
        <v>9.7000000000007276</v>
      </c>
      <c r="E325" s="30">
        <v>0</v>
      </c>
      <c r="F325" s="30">
        <v>0</v>
      </c>
      <c r="O325" s="30" t="s">
        <v>150</v>
      </c>
    </row>
    <row r="326" spans="1:15" x14ac:dyDescent="0.35">
      <c r="A326" s="119">
        <v>45986</v>
      </c>
      <c r="B326" s="30" t="s">
        <v>2</v>
      </c>
      <c r="C326" s="30">
        <v>6</v>
      </c>
      <c r="D326" s="30">
        <v>5</v>
      </c>
      <c r="E326" s="30">
        <v>0</v>
      </c>
      <c r="F326" s="30">
        <v>0</v>
      </c>
      <c r="O326" s="30" t="s">
        <v>151</v>
      </c>
    </row>
    <row r="327" spans="1:15" x14ac:dyDescent="0.35">
      <c r="A327" s="119">
        <v>45986</v>
      </c>
      <c r="B327" s="30" t="s">
        <v>3</v>
      </c>
      <c r="C327" s="30">
        <v>9</v>
      </c>
      <c r="D327" s="30">
        <v>2</v>
      </c>
      <c r="E327" s="30">
        <v>0</v>
      </c>
      <c r="F327" s="30">
        <v>0</v>
      </c>
      <c r="O327" s="30" t="s">
        <v>152</v>
      </c>
    </row>
    <row r="328" spans="1:15" x14ac:dyDescent="0.35">
      <c r="A328" s="119">
        <v>45986</v>
      </c>
      <c r="B328" s="30" t="s">
        <v>5</v>
      </c>
      <c r="C328" s="30">
        <v>0</v>
      </c>
      <c r="D328" s="30">
        <v>0</v>
      </c>
      <c r="E328" s="30">
        <v>11</v>
      </c>
      <c r="F328" s="30">
        <v>0</v>
      </c>
      <c r="O328" s="30" t="s">
        <v>38</v>
      </c>
    </row>
    <row r="329" spans="1:15" x14ac:dyDescent="0.35">
      <c r="A329" s="119">
        <v>45986</v>
      </c>
      <c r="B329" s="30" t="s">
        <v>6</v>
      </c>
      <c r="C329" s="30">
        <v>6.5</v>
      </c>
      <c r="D329" s="30">
        <v>4.5</v>
      </c>
      <c r="E329" s="30">
        <v>0</v>
      </c>
      <c r="F329" s="30">
        <v>0</v>
      </c>
      <c r="O329" s="30" t="s">
        <v>153</v>
      </c>
    </row>
    <row r="330" spans="1:15" x14ac:dyDescent="0.35">
      <c r="A330" s="119">
        <v>45986</v>
      </c>
      <c r="B330" s="30" t="s">
        <v>8</v>
      </c>
      <c r="C330" s="30">
        <v>8</v>
      </c>
      <c r="D330" s="30">
        <v>3</v>
      </c>
      <c r="E330" s="30">
        <v>0</v>
      </c>
      <c r="F330" s="30">
        <v>0</v>
      </c>
      <c r="O330" s="30" t="s">
        <v>137</v>
      </c>
    </row>
    <row r="331" spans="1:15" x14ac:dyDescent="0.35">
      <c r="A331" s="119">
        <v>45986</v>
      </c>
      <c r="B331" s="30" t="s">
        <v>7</v>
      </c>
      <c r="C331" s="30">
        <v>0.8000000000001819</v>
      </c>
      <c r="D331" s="30">
        <v>10.199999999999818</v>
      </c>
      <c r="E331" s="30">
        <v>0</v>
      </c>
      <c r="F331" s="30">
        <v>0</v>
      </c>
      <c r="O331" s="30" t="s">
        <v>162</v>
      </c>
    </row>
    <row r="332" spans="1:15" x14ac:dyDescent="0.35">
      <c r="A332" s="119">
        <v>45986</v>
      </c>
      <c r="B332" s="30" t="s">
        <v>9</v>
      </c>
      <c r="C332" s="30">
        <v>11</v>
      </c>
      <c r="D332" s="30">
        <v>0</v>
      </c>
      <c r="E332" s="30">
        <v>0</v>
      </c>
      <c r="F332" s="30">
        <v>0</v>
      </c>
    </row>
    <row r="333" spans="1:15" x14ac:dyDescent="0.35">
      <c r="A333" s="119">
        <v>45986</v>
      </c>
      <c r="B333" s="30" t="s">
        <v>10</v>
      </c>
      <c r="C333" s="30">
        <v>11</v>
      </c>
      <c r="D333" s="30">
        <v>0</v>
      </c>
      <c r="E333" s="30">
        <v>0</v>
      </c>
      <c r="F333" s="30">
        <v>0</v>
      </c>
    </row>
    <row r="334" spans="1:15" x14ac:dyDescent="0.35">
      <c r="A334" s="119">
        <v>45986</v>
      </c>
      <c r="B334" s="30" t="s">
        <v>11</v>
      </c>
      <c r="C334" s="30">
        <v>11</v>
      </c>
      <c r="D334" s="30">
        <v>0</v>
      </c>
      <c r="E334" s="30">
        <v>0</v>
      </c>
      <c r="F334" s="30">
        <v>0</v>
      </c>
    </row>
    <row r="335" spans="1:15" x14ac:dyDescent="0.35">
      <c r="A335" s="119">
        <v>45986</v>
      </c>
      <c r="B335" s="30" t="s">
        <v>21</v>
      </c>
      <c r="C335" s="30">
        <v>0</v>
      </c>
      <c r="D335" s="30">
        <v>0</v>
      </c>
      <c r="E335" s="30">
        <v>0</v>
      </c>
      <c r="F335" s="30">
        <v>1</v>
      </c>
    </row>
    <row r="336" spans="1:15" x14ac:dyDescent="0.35">
      <c r="A336" s="119">
        <v>45986</v>
      </c>
      <c r="B336" s="30" t="s">
        <v>22</v>
      </c>
      <c r="C336" s="30">
        <v>0</v>
      </c>
      <c r="D336" s="30">
        <v>0</v>
      </c>
      <c r="E336" s="30">
        <v>0</v>
      </c>
      <c r="F336" s="30">
        <v>1</v>
      </c>
    </row>
    <row r="337" spans="1:15" x14ac:dyDescent="0.35">
      <c r="A337" s="119">
        <v>45987</v>
      </c>
      <c r="B337" s="30" t="s">
        <v>13</v>
      </c>
      <c r="C337" s="30">
        <v>11.5</v>
      </c>
      <c r="D337" s="30">
        <v>0</v>
      </c>
      <c r="E337" s="30">
        <v>0</v>
      </c>
    </row>
    <row r="338" spans="1:15" x14ac:dyDescent="0.35">
      <c r="A338" s="119">
        <v>45987</v>
      </c>
      <c r="B338" s="30" t="s">
        <v>14</v>
      </c>
      <c r="C338" s="30">
        <v>11.5</v>
      </c>
      <c r="D338" s="30">
        <v>0</v>
      </c>
      <c r="E338" s="30">
        <v>0</v>
      </c>
    </row>
    <row r="339" spans="1:15" x14ac:dyDescent="0.35">
      <c r="A339" s="119">
        <v>45987</v>
      </c>
      <c r="B339" s="30" t="s">
        <v>15</v>
      </c>
      <c r="C339" s="30">
        <v>11.5</v>
      </c>
      <c r="D339" s="30">
        <v>0</v>
      </c>
      <c r="E339" s="30">
        <v>0</v>
      </c>
    </row>
    <row r="340" spans="1:15" x14ac:dyDescent="0.35">
      <c r="A340" s="119">
        <v>45987</v>
      </c>
      <c r="B340" s="30" t="s">
        <v>16</v>
      </c>
      <c r="C340" s="30">
        <v>11.5</v>
      </c>
      <c r="D340" s="30">
        <v>0</v>
      </c>
      <c r="E340" s="30">
        <v>0</v>
      </c>
    </row>
    <row r="341" spans="1:15" x14ac:dyDescent="0.35">
      <c r="A341" s="119">
        <v>45987</v>
      </c>
      <c r="B341" s="30" t="s">
        <v>17</v>
      </c>
      <c r="C341" s="30">
        <v>11.5</v>
      </c>
      <c r="D341" s="30">
        <v>0</v>
      </c>
      <c r="E341" s="30">
        <v>0</v>
      </c>
    </row>
    <row r="342" spans="1:15" x14ac:dyDescent="0.35">
      <c r="A342" s="119">
        <v>45987</v>
      </c>
      <c r="B342" s="30" t="s">
        <v>18</v>
      </c>
      <c r="C342" s="30">
        <v>11.5</v>
      </c>
      <c r="D342" s="30">
        <v>0</v>
      </c>
      <c r="E342" s="30">
        <v>0</v>
      </c>
    </row>
    <row r="343" spans="1:15" x14ac:dyDescent="0.35">
      <c r="A343" s="119">
        <v>45987</v>
      </c>
      <c r="B343" s="30" t="s">
        <v>20</v>
      </c>
      <c r="C343" s="30">
        <v>11.5</v>
      </c>
      <c r="D343" s="30">
        <v>0</v>
      </c>
      <c r="E343" s="30">
        <v>0</v>
      </c>
    </row>
    <row r="344" spans="1:15" x14ac:dyDescent="0.35">
      <c r="A344" s="119">
        <v>45987</v>
      </c>
      <c r="B344" s="30" t="s">
        <v>4</v>
      </c>
      <c r="C344" s="30">
        <v>3.5</v>
      </c>
      <c r="D344" s="30">
        <v>7.5</v>
      </c>
      <c r="E344" s="30">
        <v>0</v>
      </c>
      <c r="F344" s="30">
        <v>0</v>
      </c>
      <c r="O344" s="30" t="s">
        <v>150</v>
      </c>
    </row>
    <row r="345" spans="1:15" x14ac:dyDescent="0.35">
      <c r="A345" s="119">
        <v>45987</v>
      </c>
      <c r="B345" s="30" t="s">
        <v>2</v>
      </c>
      <c r="C345" s="30">
        <v>7</v>
      </c>
      <c r="D345" s="30">
        <v>4</v>
      </c>
      <c r="E345" s="30">
        <v>0</v>
      </c>
      <c r="F345" s="30">
        <v>0</v>
      </c>
      <c r="O345" s="30" t="s">
        <v>151</v>
      </c>
    </row>
    <row r="346" spans="1:15" x14ac:dyDescent="0.35">
      <c r="A346" s="119">
        <v>45987</v>
      </c>
      <c r="B346" s="30" t="s">
        <v>3</v>
      </c>
      <c r="C346" s="30">
        <v>8</v>
      </c>
      <c r="D346" s="30">
        <v>3</v>
      </c>
      <c r="E346" s="30">
        <v>0</v>
      </c>
      <c r="F346" s="30">
        <v>0</v>
      </c>
      <c r="O346" s="30" t="s">
        <v>152</v>
      </c>
    </row>
    <row r="347" spans="1:15" x14ac:dyDescent="0.35">
      <c r="A347" s="119">
        <v>45987</v>
      </c>
      <c r="B347" s="30" t="s">
        <v>5</v>
      </c>
      <c r="C347" s="30">
        <v>0</v>
      </c>
      <c r="D347" s="30">
        <v>0</v>
      </c>
      <c r="E347" s="30">
        <v>11</v>
      </c>
      <c r="F347" s="30">
        <v>0</v>
      </c>
      <c r="O347" s="30" t="s">
        <v>38</v>
      </c>
    </row>
    <row r="348" spans="1:15" x14ac:dyDescent="0.35">
      <c r="A348" s="119">
        <v>45987</v>
      </c>
      <c r="B348" s="30" t="s">
        <v>6</v>
      </c>
      <c r="C348" s="30">
        <v>7</v>
      </c>
      <c r="D348" s="30">
        <v>4</v>
      </c>
      <c r="E348" s="30">
        <v>0</v>
      </c>
      <c r="F348" s="30">
        <v>0</v>
      </c>
      <c r="O348" s="30" t="s">
        <v>153</v>
      </c>
    </row>
    <row r="349" spans="1:15" x14ac:dyDescent="0.35">
      <c r="A349" s="119">
        <v>45987</v>
      </c>
      <c r="B349" s="30" t="s">
        <v>8</v>
      </c>
      <c r="C349" s="30">
        <v>10</v>
      </c>
      <c r="D349" s="30">
        <v>1</v>
      </c>
      <c r="E349" s="30">
        <v>0</v>
      </c>
      <c r="F349" s="30">
        <v>0</v>
      </c>
      <c r="O349" s="30" t="s">
        <v>137</v>
      </c>
    </row>
    <row r="350" spans="1:15" x14ac:dyDescent="0.35">
      <c r="A350" s="119">
        <v>45987</v>
      </c>
      <c r="B350" s="30" t="s">
        <v>7</v>
      </c>
      <c r="C350" s="30">
        <v>0.3000000000001819</v>
      </c>
      <c r="D350" s="30">
        <v>10.699999999999818</v>
      </c>
      <c r="E350" s="30">
        <v>0</v>
      </c>
      <c r="F350" s="30">
        <v>0</v>
      </c>
      <c r="O350" s="30" t="s">
        <v>162</v>
      </c>
    </row>
    <row r="351" spans="1:15" x14ac:dyDescent="0.35">
      <c r="A351" s="119">
        <v>45987</v>
      </c>
      <c r="B351" s="30" t="s">
        <v>9</v>
      </c>
      <c r="C351" s="30">
        <v>11</v>
      </c>
      <c r="D351" s="30">
        <v>0</v>
      </c>
      <c r="E351" s="30">
        <v>0</v>
      </c>
      <c r="F351" s="30">
        <v>0</v>
      </c>
    </row>
    <row r="352" spans="1:15" x14ac:dyDescent="0.35">
      <c r="A352" s="119">
        <v>45987</v>
      </c>
      <c r="B352" s="30" t="s">
        <v>10</v>
      </c>
      <c r="C352" s="30">
        <v>11</v>
      </c>
      <c r="D352" s="30">
        <v>0</v>
      </c>
      <c r="E352" s="30">
        <v>0</v>
      </c>
      <c r="F352" s="30">
        <v>0</v>
      </c>
    </row>
    <row r="353" spans="1:15" x14ac:dyDescent="0.35">
      <c r="A353" s="119">
        <v>45987</v>
      </c>
      <c r="B353" s="30" t="s">
        <v>11</v>
      </c>
      <c r="C353" s="30">
        <v>11</v>
      </c>
      <c r="D353" s="30">
        <v>0</v>
      </c>
      <c r="E353" s="30">
        <v>0</v>
      </c>
      <c r="F353" s="30">
        <v>0</v>
      </c>
    </row>
    <row r="354" spans="1:15" x14ac:dyDescent="0.35">
      <c r="A354" s="119">
        <v>45987</v>
      </c>
      <c r="B354" s="30" t="s">
        <v>21</v>
      </c>
      <c r="C354" s="30">
        <v>0</v>
      </c>
      <c r="D354" s="30">
        <v>0</v>
      </c>
      <c r="E354" s="30">
        <v>0</v>
      </c>
      <c r="F354" s="30">
        <v>1</v>
      </c>
    </row>
    <row r="355" spans="1:15" x14ac:dyDescent="0.35">
      <c r="A355" s="119">
        <v>45987</v>
      </c>
      <c r="B355" s="30" t="s">
        <v>22</v>
      </c>
      <c r="C355" s="30">
        <v>0</v>
      </c>
      <c r="D355" s="30">
        <v>0</v>
      </c>
      <c r="E355" s="30">
        <v>0</v>
      </c>
      <c r="F355" s="30">
        <v>1</v>
      </c>
    </row>
    <row r="356" spans="1:15" x14ac:dyDescent="0.35">
      <c r="A356" s="119">
        <v>45988</v>
      </c>
      <c r="B356" s="30" t="s">
        <v>13</v>
      </c>
      <c r="C356" s="30">
        <v>11.5</v>
      </c>
      <c r="D356" s="30">
        <v>0</v>
      </c>
      <c r="E356" s="30">
        <v>0</v>
      </c>
    </row>
    <row r="357" spans="1:15" x14ac:dyDescent="0.35">
      <c r="A357" s="119">
        <v>45988</v>
      </c>
      <c r="B357" s="30" t="s">
        <v>14</v>
      </c>
      <c r="C357" s="30">
        <v>11.5</v>
      </c>
      <c r="D357" s="30">
        <v>0</v>
      </c>
      <c r="E357" s="30">
        <v>0</v>
      </c>
    </row>
    <row r="358" spans="1:15" x14ac:dyDescent="0.35">
      <c r="A358" s="119">
        <v>45988</v>
      </c>
      <c r="B358" s="30" t="s">
        <v>15</v>
      </c>
      <c r="C358" s="30">
        <v>11.5</v>
      </c>
      <c r="D358" s="30">
        <v>0</v>
      </c>
      <c r="E358" s="30">
        <v>0</v>
      </c>
    </row>
    <row r="359" spans="1:15" x14ac:dyDescent="0.35">
      <c r="A359" s="119">
        <v>45988</v>
      </c>
      <c r="B359" s="30" t="s">
        <v>16</v>
      </c>
      <c r="C359" s="30">
        <v>11.5</v>
      </c>
      <c r="D359" s="30">
        <v>0</v>
      </c>
      <c r="E359" s="30">
        <v>0</v>
      </c>
    </row>
    <row r="360" spans="1:15" x14ac:dyDescent="0.35">
      <c r="A360" s="119">
        <v>45988</v>
      </c>
      <c r="B360" s="30" t="s">
        <v>17</v>
      </c>
      <c r="C360" s="30">
        <v>11.5</v>
      </c>
      <c r="D360" s="30">
        <v>0</v>
      </c>
      <c r="E360" s="30">
        <v>0</v>
      </c>
    </row>
    <row r="361" spans="1:15" x14ac:dyDescent="0.35">
      <c r="A361" s="119">
        <v>45988</v>
      </c>
      <c r="B361" s="30" t="s">
        <v>18</v>
      </c>
      <c r="C361" s="30">
        <v>11.5</v>
      </c>
      <c r="D361" s="30">
        <v>0</v>
      </c>
      <c r="E361" s="30">
        <v>0</v>
      </c>
    </row>
    <row r="362" spans="1:15" x14ac:dyDescent="0.35">
      <c r="A362" s="119">
        <v>45988</v>
      </c>
      <c r="B362" s="30" t="s">
        <v>20</v>
      </c>
      <c r="C362" s="30">
        <v>11.5</v>
      </c>
      <c r="D362" s="30">
        <v>0</v>
      </c>
      <c r="E362" s="30">
        <v>0</v>
      </c>
    </row>
    <row r="363" spans="1:15" x14ac:dyDescent="0.35">
      <c r="A363" s="119">
        <v>45988</v>
      </c>
      <c r="B363" s="30" t="s">
        <v>4</v>
      </c>
      <c r="C363" s="30">
        <v>7.2000000000007276</v>
      </c>
      <c r="D363" s="30">
        <v>3.7999999999992724</v>
      </c>
      <c r="E363" s="30">
        <v>0</v>
      </c>
      <c r="F363" s="30">
        <v>0</v>
      </c>
      <c r="O363" s="30" t="s">
        <v>172</v>
      </c>
    </row>
    <row r="364" spans="1:15" x14ac:dyDescent="0.35">
      <c r="A364" s="119">
        <v>45988</v>
      </c>
      <c r="B364" s="30" t="s">
        <v>2</v>
      </c>
      <c r="C364" s="30">
        <v>10</v>
      </c>
      <c r="D364" s="30">
        <v>1</v>
      </c>
      <c r="E364" s="30">
        <v>0</v>
      </c>
      <c r="F364" s="30">
        <v>0</v>
      </c>
      <c r="O364" s="30" t="s">
        <v>169</v>
      </c>
    </row>
    <row r="365" spans="1:15" x14ac:dyDescent="0.35">
      <c r="A365" s="119">
        <v>45988</v>
      </c>
      <c r="B365" s="30" t="s">
        <v>3</v>
      </c>
      <c r="C365" s="30">
        <v>8</v>
      </c>
      <c r="D365" s="30">
        <v>3</v>
      </c>
      <c r="E365" s="30">
        <v>0</v>
      </c>
      <c r="F365" s="30">
        <v>0</v>
      </c>
      <c r="O365" s="30" t="s">
        <v>152</v>
      </c>
    </row>
    <row r="366" spans="1:15" x14ac:dyDescent="0.35">
      <c r="A366" s="119">
        <v>45988</v>
      </c>
      <c r="B366" s="30" t="s">
        <v>5</v>
      </c>
      <c r="C366" s="30">
        <v>0</v>
      </c>
      <c r="D366" s="30">
        <v>0</v>
      </c>
      <c r="E366" s="30">
        <v>11</v>
      </c>
      <c r="F366" s="30">
        <v>0</v>
      </c>
      <c r="O366" s="30" t="s">
        <v>38</v>
      </c>
    </row>
    <row r="367" spans="1:15" x14ac:dyDescent="0.35">
      <c r="A367" s="119">
        <v>45988</v>
      </c>
      <c r="B367" s="30" t="s">
        <v>6</v>
      </c>
      <c r="C367" s="30">
        <v>8.5</v>
      </c>
      <c r="D367" s="30">
        <v>2.5</v>
      </c>
      <c r="E367" s="30">
        <v>0</v>
      </c>
      <c r="F367" s="30">
        <v>0</v>
      </c>
      <c r="O367" s="30" t="s">
        <v>153</v>
      </c>
    </row>
    <row r="368" spans="1:15" x14ac:dyDescent="0.35">
      <c r="A368" s="119">
        <v>45988</v>
      </c>
      <c r="B368" s="30" t="s">
        <v>8</v>
      </c>
      <c r="C368" s="30">
        <v>9</v>
      </c>
      <c r="D368" s="30">
        <v>2</v>
      </c>
      <c r="E368" s="30">
        <v>0</v>
      </c>
      <c r="F368" s="30">
        <v>0</v>
      </c>
      <c r="O368" s="30" t="s">
        <v>137</v>
      </c>
    </row>
    <row r="369" spans="1:15" x14ac:dyDescent="0.35">
      <c r="A369" s="119">
        <v>45988</v>
      </c>
      <c r="B369" s="30" t="s">
        <v>7</v>
      </c>
      <c r="C369" s="30">
        <v>0.5</v>
      </c>
      <c r="D369" s="30">
        <v>10.5</v>
      </c>
      <c r="E369" s="30">
        <v>0</v>
      </c>
      <c r="F369" s="30">
        <v>0</v>
      </c>
      <c r="O369" s="30" t="s">
        <v>162</v>
      </c>
    </row>
    <row r="370" spans="1:15" x14ac:dyDescent="0.35">
      <c r="A370" s="119">
        <v>45988</v>
      </c>
      <c r="B370" s="30" t="s">
        <v>9</v>
      </c>
      <c r="C370" s="30">
        <v>11</v>
      </c>
      <c r="D370" s="30">
        <v>0</v>
      </c>
      <c r="E370" s="30">
        <v>0</v>
      </c>
      <c r="F370" s="30">
        <v>0</v>
      </c>
    </row>
    <row r="371" spans="1:15" x14ac:dyDescent="0.35">
      <c r="A371" s="119">
        <v>45988</v>
      </c>
      <c r="B371" s="30" t="s">
        <v>10</v>
      </c>
      <c r="C371" s="30">
        <v>11</v>
      </c>
      <c r="D371" s="30">
        <v>0</v>
      </c>
      <c r="E371" s="30">
        <v>0</v>
      </c>
      <c r="F371" s="30">
        <v>0</v>
      </c>
    </row>
    <row r="372" spans="1:15" x14ac:dyDescent="0.35">
      <c r="A372" s="119">
        <v>45988</v>
      </c>
      <c r="B372" s="30" t="s">
        <v>11</v>
      </c>
      <c r="C372" s="30">
        <v>11</v>
      </c>
      <c r="D372" s="30">
        <v>0</v>
      </c>
      <c r="E372" s="30">
        <v>0</v>
      </c>
      <c r="F372" s="30">
        <v>0</v>
      </c>
    </row>
    <row r="373" spans="1:15" x14ac:dyDescent="0.35">
      <c r="A373" s="119">
        <v>45988</v>
      </c>
      <c r="B373" s="30" t="s">
        <v>21</v>
      </c>
      <c r="C373" s="30">
        <v>0</v>
      </c>
      <c r="D373" s="30">
        <v>0</v>
      </c>
      <c r="E373" s="30">
        <v>0</v>
      </c>
      <c r="F373" s="30">
        <v>1</v>
      </c>
    </row>
    <row r="374" spans="1:15" x14ac:dyDescent="0.35">
      <c r="A374" s="119">
        <v>45988</v>
      </c>
      <c r="B374" s="30" t="s">
        <v>22</v>
      </c>
      <c r="C374" s="30">
        <v>0</v>
      </c>
      <c r="D374" s="30">
        <v>0</v>
      </c>
      <c r="E374" s="30">
        <v>0</v>
      </c>
      <c r="F374" s="30">
        <v>1</v>
      </c>
    </row>
    <row r="375" spans="1:15" x14ac:dyDescent="0.35">
      <c r="A375" s="119">
        <v>45989</v>
      </c>
      <c r="B375" s="30" t="s">
        <v>13</v>
      </c>
      <c r="C375" s="30">
        <v>11.5</v>
      </c>
      <c r="D375" s="30">
        <v>0</v>
      </c>
      <c r="E375" s="30">
        <v>0</v>
      </c>
    </row>
    <row r="376" spans="1:15" x14ac:dyDescent="0.35">
      <c r="A376" s="119">
        <v>45989</v>
      </c>
      <c r="B376" s="30" t="s">
        <v>14</v>
      </c>
      <c r="C376" s="30">
        <v>11.5</v>
      </c>
      <c r="D376" s="30">
        <v>0</v>
      </c>
      <c r="E376" s="30">
        <v>0</v>
      </c>
    </row>
    <row r="377" spans="1:15" x14ac:dyDescent="0.35">
      <c r="A377" s="119">
        <v>45989</v>
      </c>
      <c r="B377" s="30" t="s">
        <v>15</v>
      </c>
      <c r="C377" s="30">
        <v>11.5</v>
      </c>
      <c r="D377" s="30">
        <v>0</v>
      </c>
      <c r="E377" s="30">
        <v>0</v>
      </c>
    </row>
    <row r="378" spans="1:15" x14ac:dyDescent="0.35">
      <c r="A378" s="119">
        <v>45989</v>
      </c>
      <c r="B378" s="30" t="s">
        <v>16</v>
      </c>
      <c r="C378" s="30">
        <v>11.5</v>
      </c>
      <c r="D378" s="30">
        <v>0</v>
      </c>
      <c r="E378" s="30">
        <v>0</v>
      </c>
    </row>
    <row r="379" spans="1:15" x14ac:dyDescent="0.35">
      <c r="A379" s="119">
        <v>45989</v>
      </c>
      <c r="B379" s="30" t="s">
        <v>17</v>
      </c>
      <c r="C379" s="30">
        <v>11.5</v>
      </c>
      <c r="D379" s="30">
        <v>0</v>
      </c>
      <c r="E379" s="30">
        <v>0</v>
      </c>
    </row>
    <row r="380" spans="1:15" x14ac:dyDescent="0.35">
      <c r="A380" s="119">
        <v>45989</v>
      </c>
      <c r="B380" s="30" t="s">
        <v>18</v>
      </c>
      <c r="C380" s="30">
        <v>11.5</v>
      </c>
      <c r="D380" s="30">
        <v>0</v>
      </c>
      <c r="E380" s="30">
        <v>0</v>
      </c>
    </row>
    <row r="381" spans="1:15" x14ac:dyDescent="0.35">
      <c r="A381" s="119">
        <v>45989</v>
      </c>
      <c r="B381" s="30" t="s">
        <v>20</v>
      </c>
      <c r="C381" s="30">
        <v>11.5</v>
      </c>
      <c r="D381" s="30">
        <v>0</v>
      </c>
      <c r="E381" s="30">
        <v>0</v>
      </c>
    </row>
    <row r="382" spans="1:15" x14ac:dyDescent="0.35">
      <c r="A382" s="119">
        <v>45989</v>
      </c>
      <c r="B382" s="30" t="s">
        <v>4</v>
      </c>
      <c r="C382" s="30">
        <v>5</v>
      </c>
      <c r="D382" s="30">
        <v>6</v>
      </c>
      <c r="E382" s="30">
        <v>0</v>
      </c>
      <c r="F382" s="30">
        <v>0</v>
      </c>
      <c r="O382" s="30" t="s">
        <v>168</v>
      </c>
    </row>
    <row r="383" spans="1:15" x14ac:dyDescent="0.35">
      <c r="A383" s="119">
        <v>45989</v>
      </c>
      <c r="B383" s="30" t="s">
        <v>2</v>
      </c>
      <c r="C383" s="30">
        <v>7</v>
      </c>
      <c r="D383" s="30">
        <v>4</v>
      </c>
      <c r="E383" s="30">
        <v>0</v>
      </c>
      <c r="F383" s="30">
        <v>0</v>
      </c>
      <c r="O383" s="30" t="s">
        <v>169</v>
      </c>
    </row>
    <row r="384" spans="1:15" x14ac:dyDescent="0.35">
      <c r="A384" s="119">
        <v>45989</v>
      </c>
      <c r="B384" s="30" t="s">
        <v>3</v>
      </c>
      <c r="C384" s="30">
        <v>5</v>
      </c>
      <c r="D384" s="30">
        <v>6</v>
      </c>
      <c r="E384" s="30">
        <v>0</v>
      </c>
      <c r="F384" s="30">
        <v>0</v>
      </c>
      <c r="O384" s="30" t="s">
        <v>170</v>
      </c>
    </row>
    <row r="385" spans="1:15" x14ac:dyDescent="0.35">
      <c r="A385" s="119">
        <v>45989</v>
      </c>
      <c r="B385" s="30" t="s">
        <v>5</v>
      </c>
      <c r="C385" s="30">
        <v>0</v>
      </c>
      <c r="D385" s="30">
        <v>0</v>
      </c>
      <c r="E385" s="30">
        <v>11</v>
      </c>
      <c r="F385" s="30">
        <v>0</v>
      </c>
      <c r="O385" s="30" t="s">
        <v>38</v>
      </c>
    </row>
    <row r="386" spans="1:15" x14ac:dyDescent="0.35">
      <c r="A386" s="119">
        <v>45989</v>
      </c>
      <c r="B386" s="30" t="s">
        <v>6</v>
      </c>
      <c r="C386" s="30">
        <v>2.8000000000001819</v>
      </c>
      <c r="D386" s="30">
        <v>8.1999999999998181</v>
      </c>
      <c r="E386" s="30">
        <v>0</v>
      </c>
      <c r="F386" s="30">
        <v>0</v>
      </c>
      <c r="O386" s="30" t="s">
        <v>174</v>
      </c>
    </row>
    <row r="387" spans="1:15" x14ac:dyDescent="0.35">
      <c r="A387" s="119">
        <v>45989</v>
      </c>
      <c r="B387" s="30" t="s">
        <v>8</v>
      </c>
      <c r="C387" s="30">
        <v>6</v>
      </c>
      <c r="D387" s="30">
        <v>5</v>
      </c>
      <c r="E387" s="30">
        <v>0</v>
      </c>
      <c r="F387" s="30">
        <v>0</v>
      </c>
      <c r="O387" s="30" t="s">
        <v>137</v>
      </c>
    </row>
    <row r="388" spans="1:15" x14ac:dyDescent="0.35">
      <c r="A388" s="119">
        <v>45989</v>
      </c>
      <c r="B388" s="30" t="s">
        <v>7</v>
      </c>
      <c r="C388" s="30">
        <v>0</v>
      </c>
      <c r="D388" s="30">
        <v>11</v>
      </c>
      <c r="E388" s="30">
        <v>0</v>
      </c>
      <c r="F388" s="30">
        <v>0</v>
      </c>
      <c r="O388" s="30" t="s">
        <v>167</v>
      </c>
    </row>
    <row r="389" spans="1:15" x14ac:dyDescent="0.35">
      <c r="A389" s="119">
        <v>45989</v>
      </c>
      <c r="B389" s="30" t="s">
        <v>9</v>
      </c>
      <c r="C389" s="30">
        <v>11</v>
      </c>
      <c r="D389" s="30">
        <v>0</v>
      </c>
      <c r="E389" s="30">
        <v>0</v>
      </c>
      <c r="F389" s="30">
        <v>0</v>
      </c>
    </row>
    <row r="390" spans="1:15" x14ac:dyDescent="0.35">
      <c r="A390" s="119">
        <v>45989</v>
      </c>
      <c r="B390" s="30" t="s">
        <v>10</v>
      </c>
      <c r="C390" s="30">
        <v>11</v>
      </c>
      <c r="D390" s="30">
        <v>0</v>
      </c>
      <c r="E390" s="30">
        <v>0</v>
      </c>
      <c r="F390" s="30">
        <v>0</v>
      </c>
    </row>
    <row r="391" spans="1:15" x14ac:dyDescent="0.35">
      <c r="A391" s="119">
        <v>45989</v>
      </c>
      <c r="B391" s="30" t="s">
        <v>11</v>
      </c>
      <c r="C391" s="30">
        <v>11</v>
      </c>
      <c r="D391" s="30">
        <v>0</v>
      </c>
      <c r="E391" s="30">
        <v>0</v>
      </c>
      <c r="F391" s="30">
        <v>0</v>
      </c>
    </row>
    <row r="392" spans="1:15" x14ac:dyDescent="0.35">
      <c r="A392" s="119">
        <v>45989</v>
      </c>
      <c r="B392" s="30" t="s">
        <v>21</v>
      </c>
      <c r="C392" s="30">
        <v>0</v>
      </c>
      <c r="D392" s="30">
        <v>0</v>
      </c>
      <c r="E392" s="30">
        <v>0</v>
      </c>
      <c r="F392" s="30">
        <v>1</v>
      </c>
    </row>
    <row r="393" spans="1:15" x14ac:dyDescent="0.35">
      <c r="A393" s="119">
        <v>45989</v>
      </c>
      <c r="B393" s="30" t="s">
        <v>22</v>
      </c>
      <c r="C393" s="30">
        <v>0</v>
      </c>
      <c r="D393" s="30">
        <v>0</v>
      </c>
      <c r="E393" s="30">
        <v>0</v>
      </c>
      <c r="F393" s="30">
        <v>1</v>
      </c>
    </row>
    <row r="394" spans="1:15" x14ac:dyDescent="0.35">
      <c r="A394" s="119">
        <v>45990</v>
      </c>
      <c r="B394" s="30" t="s">
        <v>13</v>
      </c>
      <c r="C394" s="30">
        <v>11.5</v>
      </c>
      <c r="D394" s="30">
        <v>0</v>
      </c>
      <c r="E394" s="30">
        <v>0</v>
      </c>
    </row>
    <row r="395" spans="1:15" x14ac:dyDescent="0.35">
      <c r="A395" s="119">
        <v>45990</v>
      </c>
      <c r="B395" s="30" t="s">
        <v>14</v>
      </c>
      <c r="C395" s="30">
        <v>11.5</v>
      </c>
      <c r="D395" s="30">
        <v>0</v>
      </c>
      <c r="E395" s="30">
        <v>0</v>
      </c>
    </row>
    <row r="396" spans="1:15" x14ac:dyDescent="0.35">
      <c r="A396" s="119">
        <v>45990</v>
      </c>
      <c r="B396" s="30" t="s">
        <v>15</v>
      </c>
      <c r="C396" s="30">
        <v>11.5</v>
      </c>
      <c r="D396" s="30">
        <v>0</v>
      </c>
      <c r="E396" s="30">
        <v>0</v>
      </c>
    </row>
    <row r="397" spans="1:15" x14ac:dyDescent="0.35">
      <c r="A397" s="119">
        <v>45990</v>
      </c>
      <c r="B397" s="30" t="s">
        <v>16</v>
      </c>
      <c r="C397" s="30">
        <v>11.5</v>
      </c>
      <c r="D397" s="30">
        <v>0</v>
      </c>
      <c r="E397" s="30">
        <v>0</v>
      </c>
    </row>
    <row r="398" spans="1:15" x14ac:dyDescent="0.35">
      <c r="A398" s="119">
        <v>45990</v>
      </c>
      <c r="B398" s="30" t="s">
        <v>17</v>
      </c>
      <c r="C398" s="30">
        <v>11.5</v>
      </c>
      <c r="D398" s="30">
        <v>0</v>
      </c>
      <c r="E398" s="30">
        <v>0</v>
      </c>
    </row>
    <row r="399" spans="1:15" x14ac:dyDescent="0.35">
      <c r="A399" s="119">
        <v>45990</v>
      </c>
      <c r="B399" s="30" t="s">
        <v>18</v>
      </c>
      <c r="C399" s="30">
        <v>11.5</v>
      </c>
      <c r="D399" s="30">
        <v>0</v>
      </c>
      <c r="E399" s="30">
        <v>0</v>
      </c>
    </row>
    <row r="400" spans="1:15" x14ac:dyDescent="0.35">
      <c r="A400" s="119">
        <v>45990</v>
      </c>
      <c r="B400" s="30" t="s">
        <v>20</v>
      </c>
      <c r="C400" s="30">
        <v>11.5</v>
      </c>
      <c r="D400" s="30">
        <v>0</v>
      </c>
      <c r="E400" s="30">
        <v>0</v>
      </c>
    </row>
    <row r="401" spans="1:15" x14ac:dyDescent="0.35">
      <c r="A401" s="119">
        <v>45990</v>
      </c>
      <c r="B401" s="30" t="s">
        <v>4</v>
      </c>
      <c r="C401" s="30">
        <v>4.1000000000003638</v>
      </c>
      <c r="D401" s="30">
        <v>6.8999999999996362</v>
      </c>
      <c r="E401" s="30">
        <v>0</v>
      </c>
      <c r="F401" s="30">
        <v>0</v>
      </c>
      <c r="O401" s="30" t="s">
        <v>184</v>
      </c>
    </row>
    <row r="402" spans="1:15" x14ac:dyDescent="0.35">
      <c r="A402" s="119">
        <v>45990</v>
      </c>
      <c r="B402" s="30" t="s">
        <v>2</v>
      </c>
      <c r="C402" s="30">
        <v>6</v>
      </c>
      <c r="D402" s="30">
        <v>5</v>
      </c>
      <c r="E402" s="30">
        <v>0</v>
      </c>
      <c r="F402" s="30">
        <v>0</v>
      </c>
      <c r="O402" s="30" t="s">
        <v>185</v>
      </c>
    </row>
    <row r="403" spans="1:15" x14ac:dyDescent="0.35">
      <c r="A403" s="119">
        <v>45990</v>
      </c>
      <c r="B403" s="30" t="s">
        <v>3</v>
      </c>
      <c r="C403" s="30">
        <v>3</v>
      </c>
      <c r="D403" s="30">
        <v>8</v>
      </c>
      <c r="E403" s="30">
        <v>0</v>
      </c>
      <c r="F403" s="30">
        <v>0</v>
      </c>
      <c r="O403" s="30" t="s">
        <v>180</v>
      </c>
    </row>
    <row r="404" spans="1:15" x14ac:dyDescent="0.35">
      <c r="A404" s="119">
        <v>45990</v>
      </c>
      <c r="B404" s="30" t="s">
        <v>5</v>
      </c>
      <c r="C404" s="30">
        <v>0</v>
      </c>
      <c r="D404" s="30">
        <v>0</v>
      </c>
      <c r="E404" s="30">
        <v>11</v>
      </c>
      <c r="F404" s="30">
        <v>0</v>
      </c>
      <c r="O404" s="30" t="s">
        <v>38</v>
      </c>
    </row>
    <row r="405" spans="1:15" x14ac:dyDescent="0.35">
      <c r="A405" s="119">
        <v>45990</v>
      </c>
      <c r="B405" s="30" t="s">
        <v>6</v>
      </c>
      <c r="C405" s="30">
        <v>0</v>
      </c>
      <c r="D405" s="30">
        <v>0</v>
      </c>
      <c r="E405" s="30">
        <v>11</v>
      </c>
      <c r="F405" s="30">
        <v>0</v>
      </c>
      <c r="O405" s="30" t="s">
        <v>181</v>
      </c>
    </row>
    <row r="406" spans="1:15" x14ac:dyDescent="0.35">
      <c r="A406" s="119">
        <v>45990</v>
      </c>
      <c r="B406" s="30" t="s">
        <v>8</v>
      </c>
      <c r="C406" s="30">
        <v>3</v>
      </c>
      <c r="D406" s="30">
        <v>8</v>
      </c>
      <c r="E406" s="30">
        <v>0</v>
      </c>
      <c r="F406" s="30">
        <v>0</v>
      </c>
      <c r="O406" s="30" t="s">
        <v>182</v>
      </c>
    </row>
    <row r="407" spans="1:15" x14ac:dyDescent="0.35">
      <c r="A407" s="119">
        <v>45990</v>
      </c>
      <c r="B407" s="30" t="s">
        <v>7</v>
      </c>
      <c r="C407" s="30">
        <v>1.5</v>
      </c>
      <c r="D407" s="30">
        <v>9.5</v>
      </c>
      <c r="E407" s="30">
        <v>0</v>
      </c>
      <c r="F407" s="30">
        <v>0</v>
      </c>
      <c r="O407" s="30" t="s">
        <v>183</v>
      </c>
    </row>
    <row r="408" spans="1:15" x14ac:dyDescent="0.35">
      <c r="A408" s="119">
        <v>45990</v>
      </c>
      <c r="B408" s="30" t="s">
        <v>9</v>
      </c>
      <c r="C408" s="30">
        <v>11</v>
      </c>
      <c r="D408" s="30">
        <v>0</v>
      </c>
      <c r="E408" s="30">
        <v>0</v>
      </c>
      <c r="F408" s="30">
        <v>0</v>
      </c>
    </row>
    <row r="409" spans="1:15" x14ac:dyDescent="0.35">
      <c r="A409" s="119">
        <v>45990</v>
      </c>
      <c r="B409" s="30" t="s">
        <v>10</v>
      </c>
      <c r="C409" s="30">
        <v>11</v>
      </c>
      <c r="D409" s="30">
        <v>0</v>
      </c>
      <c r="E409" s="30">
        <v>0</v>
      </c>
      <c r="F409" s="30">
        <v>0</v>
      </c>
    </row>
    <row r="410" spans="1:15" x14ac:dyDescent="0.35">
      <c r="A410" s="119">
        <v>45990</v>
      </c>
      <c r="B410" s="30" t="s">
        <v>11</v>
      </c>
      <c r="C410" s="30">
        <v>11</v>
      </c>
      <c r="D410" s="30">
        <v>0</v>
      </c>
      <c r="E410" s="30">
        <v>0</v>
      </c>
      <c r="F410" s="30">
        <v>0</v>
      </c>
    </row>
    <row r="411" spans="1:15" x14ac:dyDescent="0.35">
      <c r="A411" s="119">
        <v>45990</v>
      </c>
      <c r="B411" s="30" t="s">
        <v>21</v>
      </c>
      <c r="C411" s="30">
        <v>0</v>
      </c>
      <c r="D411" s="30">
        <v>0</v>
      </c>
      <c r="E411" s="30">
        <v>0</v>
      </c>
      <c r="F411" s="30">
        <v>1</v>
      </c>
    </row>
    <row r="412" spans="1:15" x14ac:dyDescent="0.35">
      <c r="A412" s="119">
        <v>45990</v>
      </c>
      <c r="B412" s="30" t="s">
        <v>22</v>
      </c>
      <c r="C412" s="30">
        <v>0</v>
      </c>
      <c r="D412" s="30">
        <v>0</v>
      </c>
      <c r="E412" s="30">
        <v>0</v>
      </c>
      <c r="F412" s="30">
        <v>1</v>
      </c>
    </row>
    <row r="413" spans="1:15" x14ac:dyDescent="0.35">
      <c r="A413" s="119">
        <v>45991</v>
      </c>
      <c r="B413" s="30" t="s">
        <v>13</v>
      </c>
      <c r="C413" s="30">
        <v>11.5</v>
      </c>
      <c r="D413" s="30">
        <v>0</v>
      </c>
      <c r="E413" s="30">
        <v>0</v>
      </c>
    </row>
    <row r="414" spans="1:15" x14ac:dyDescent="0.35">
      <c r="A414" s="119">
        <v>45991</v>
      </c>
      <c r="B414" s="30" t="s">
        <v>14</v>
      </c>
      <c r="C414" s="30">
        <v>11.5</v>
      </c>
      <c r="D414" s="30">
        <v>0</v>
      </c>
      <c r="E414" s="30">
        <v>0</v>
      </c>
    </row>
    <row r="415" spans="1:15" x14ac:dyDescent="0.35">
      <c r="A415" s="119">
        <v>45991</v>
      </c>
      <c r="B415" s="30" t="s">
        <v>15</v>
      </c>
      <c r="C415" s="30">
        <v>11.5</v>
      </c>
      <c r="D415" s="30">
        <v>0</v>
      </c>
      <c r="E415" s="30">
        <v>0</v>
      </c>
    </row>
    <row r="416" spans="1:15" x14ac:dyDescent="0.35">
      <c r="A416" s="119">
        <v>45991</v>
      </c>
      <c r="B416" s="30" t="s">
        <v>16</v>
      </c>
      <c r="C416" s="30">
        <v>11.5</v>
      </c>
      <c r="D416" s="30">
        <v>0</v>
      </c>
      <c r="E416" s="30">
        <v>0</v>
      </c>
    </row>
    <row r="417" spans="1:15" x14ac:dyDescent="0.35">
      <c r="A417" s="119">
        <v>45991</v>
      </c>
      <c r="B417" s="30" t="s">
        <v>17</v>
      </c>
      <c r="C417" s="30">
        <v>11.5</v>
      </c>
      <c r="D417" s="30">
        <v>0</v>
      </c>
      <c r="E417" s="30">
        <v>0</v>
      </c>
    </row>
    <row r="418" spans="1:15" x14ac:dyDescent="0.35">
      <c r="A418" s="119">
        <v>45991</v>
      </c>
      <c r="B418" s="30" t="s">
        <v>18</v>
      </c>
      <c r="C418" s="30">
        <v>11.5</v>
      </c>
      <c r="D418" s="30">
        <v>0</v>
      </c>
      <c r="E418" s="30">
        <v>0</v>
      </c>
    </row>
    <row r="419" spans="1:15" x14ac:dyDescent="0.35">
      <c r="A419" s="119">
        <v>45991</v>
      </c>
      <c r="B419" s="30" t="s">
        <v>20</v>
      </c>
      <c r="C419" s="30">
        <v>11.5</v>
      </c>
      <c r="D419" s="30">
        <v>0</v>
      </c>
      <c r="E419" s="30">
        <v>0</v>
      </c>
    </row>
    <row r="420" spans="1:15" x14ac:dyDescent="0.35">
      <c r="A420" s="119">
        <v>45991</v>
      </c>
      <c r="B420" s="30" t="s">
        <v>4</v>
      </c>
      <c r="C420" s="30">
        <v>7</v>
      </c>
      <c r="D420" s="30">
        <v>4</v>
      </c>
      <c r="E420" s="30">
        <v>0</v>
      </c>
      <c r="F420" s="30">
        <v>0</v>
      </c>
      <c r="O420" s="30" t="s">
        <v>190</v>
      </c>
    </row>
    <row r="421" spans="1:15" x14ac:dyDescent="0.35">
      <c r="A421" s="119">
        <v>45991</v>
      </c>
      <c r="B421" s="30" t="s">
        <v>2</v>
      </c>
      <c r="C421" s="30">
        <v>6</v>
      </c>
      <c r="D421" s="30">
        <v>5</v>
      </c>
      <c r="E421" s="30">
        <v>0</v>
      </c>
      <c r="F421" s="30">
        <v>0</v>
      </c>
      <c r="O421" s="30" t="s">
        <v>188</v>
      </c>
    </row>
    <row r="422" spans="1:15" x14ac:dyDescent="0.35">
      <c r="A422" s="119">
        <v>45991</v>
      </c>
      <c r="B422" s="30" t="s">
        <v>3</v>
      </c>
      <c r="C422" s="30">
        <v>4</v>
      </c>
      <c r="D422" s="30">
        <v>7</v>
      </c>
      <c r="E422" s="30">
        <v>0</v>
      </c>
      <c r="F422" s="30">
        <v>0</v>
      </c>
      <c r="O422" s="30" t="s">
        <v>180</v>
      </c>
    </row>
    <row r="423" spans="1:15" x14ac:dyDescent="0.35">
      <c r="A423" s="119">
        <v>45991</v>
      </c>
      <c r="B423" s="30" t="s">
        <v>5</v>
      </c>
      <c r="C423" s="30">
        <v>0</v>
      </c>
      <c r="D423" s="30">
        <v>0</v>
      </c>
      <c r="E423" s="30">
        <v>11</v>
      </c>
      <c r="F423" s="30">
        <v>0</v>
      </c>
      <c r="O423" s="30" t="s">
        <v>38</v>
      </c>
    </row>
    <row r="424" spans="1:15" x14ac:dyDescent="0.35">
      <c r="A424" s="119">
        <v>45991</v>
      </c>
      <c r="B424" s="30" t="s">
        <v>6</v>
      </c>
      <c r="C424" s="30">
        <v>0</v>
      </c>
      <c r="D424" s="30">
        <v>0</v>
      </c>
      <c r="E424" s="30">
        <v>11</v>
      </c>
      <c r="F424" s="30">
        <v>0</v>
      </c>
      <c r="O424" s="30" t="s">
        <v>181</v>
      </c>
    </row>
    <row r="425" spans="1:15" x14ac:dyDescent="0.35">
      <c r="A425" s="119">
        <v>45991</v>
      </c>
      <c r="B425" s="30" t="s">
        <v>8</v>
      </c>
      <c r="C425" s="30">
        <v>7</v>
      </c>
      <c r="D425" s="30">
        <v>4</v>
      </c>
      <c r="E425" s="30">
        <v>0</v>
      </c>
      <c r="F425" s="30">
        <v>0</v>
      </c>
      <c r="O425" s="30" t="s">
        <v>182</v>
      </c>
    </row>
    <row r="426" spans="1:15" x14ac:dyDescent="0.35">
      <c r="A426" s="119">
        <v>45991</v>
      </c>
      <c r="B426" s="30" t="s">
        <v>7</v>
      </c>
      <c r="C426" s="30">
        <v>8.3999999999996362</v>
      </c>
      <c r="D426" s="30">
        <v>0</v>
      </c>
      <c r="E426" s="30">
        <v>2.6</v>
      </c>
      <c r="F426" s="30">
        <v>0</v>
      </c>
      <c r="O426" s="30" t="s">
        <v>189</v>
      </c>
    </row>
    <row r="427" spans="1:15" x14ac:dyDescent="0.35">
      <c r="A427" s="119">
        <v>45991</v>
      </c>
      <c r="B427" s="30" t="s">
        <v>9</v>
      </c>
      <c r="C427" s="30">
        <v>11</v>
      </c>
      <c r="D427" s="30">
        <v>0</v>
      </c>
      <c r="E427" s="30">
        <v>0</v>
      </c>
      <c r="F427" s="30">
        <v>0</v>
      </c>
    </row>
    <row r="428" spans="1:15" x14ac:dyDescent="0.35">
      <c r="A428" s="119">
        <v>45991</v>
      </c>
      <c r="B428" s="30" t="s">
        <v>10</v>
      </c>
      <c r="C428" s="30">
        <v>11</v>
      </c>
      <c r="D428" s="30">
        <v>0</v>
      </c>
      <c r="E428" s="30">
        <v>0</v>
      </c>
      <c r="F428" s="30">
        <v>0</v>
      </c>
    </row>
    <row r="429" spans="1:15" x14ac:dyDescent="0.35">
      <c r="A429" s="119">
        <v>45991</v>
      </c>
      <c r="B429" s="30" t="s">
        <v>11</v>
      </c>
      <c r="C429" s="30">
        <v>11</v>
      </c>
      <c r="D429" s="30">
        <v>0</v>
      </c>
      <c r="E429" s="30">
        <v>0</v>
      </c>
      <c r="F429" s="30">
        <v>0</v>
      </c>
    </row>
    <row r="430" spans="1:15" x14ac:dyDescent="0.35">
      <c r="A430" s="119">
        <v>45991</v>
      </c>
      <c r="B430" s="30" t="s">
        <v>21</v>
      </c>
      <c r="C430" s="30">
        <v>0</v>
      </c>
      <c r="D430" s="30">
        <v>0</v>
      </c>
      <c r="E430" s="30">
        <v>0</v>
      </c>
      <c r="F430" s="30">
        <v>1</v>
      </c>
    </row>
    <row r="431" spans="1:15" x14ac:dyDescent="0.35">
      <c r="A431" s="119">
        <v>45991</v>
      </c>
      <c r="B431" s="30" t="s">
        <v>22</v>
      </c>
      <c r="C431" s="30">
        <v>0</v>
      </c>
      <c r="D431" s="30">
        <v>0</v>
      </c>
      <c r="E431" s="30">
        <v>0</v>
      </c>
      <c r="F431" s="30">
        <v>1</v>
      </c>
    </row>
    <row r="432" spans="1:15" x14ac:dyDescent="0.35">
      <c r="A432" s="119">
        <v>45992</v>
      </c>
      <c r="B432" s="30" t="s">
        <v>13</v>
      </c>
      <c r="C432" s="30">
        <v>11.5</v>
      </c>
      <c r="D432" s="30">
        <v>0</v>
      </c>
      <c r="E432" s="30">
        <v>0</v>
      </c>
    </row>
    <row r="433" spans="1:15" x14ac:dyDescent="0.35">
      <c r="A433" s="119">
        <v>45992</v>
      </c>
      <c r="B433" s="30" t="s">
        <v>14</v>
      </c>
      <c r="C433" s="30">
        <v>11.5</v>
      </c>
      <c r="D433" s="30">
        <v>0</v>
      </c>
      <c r="E433" s="30">
        <v>0</v>
      </c>
    </row>
    <row r="434" spans="1:15" x14ac:dyDescent="0.35">
      <c r="A434" s="119">
        <v>45992</v>
      </c>
      <c r="B434" s="30" t="s">
        <v>15</v>
      </c>
      <c r="C434" s="30">
        <v>11.5</v>
      </c>
      <c r="D434" s="30">
        <v>0</v>
      </c>
      <c r="E434" s="30">
        <v>0</v>
      </c>
    </row>
    <row r="435" spans="1:15" x14ac:dyDescent="0.35">
      <c r="A435" s="119">
        <v>45992</v>
      </c>
      <c r="B435" s="30" t="s">
        <v>16</v>
      </c>
      <c r="C435" s="30">
        <v>11.5</v>
      </c>
      <c r="D435" s="30">
        <v>0</v>
      </c>
      <c r="E435" s="30">
        <v>0</v>
      </c>
    </row>
    <row r="436" spans="1:15" x14ac:dyDescent="0.35">
      <c r="A436" s="119">
        <v>45992</v>
      </c>
      <c r="B436" s="30" t="s">
        <v>17</v>
      </c>
      <c r="C436" s="30">
        <v>11.5</v>
      </c>
      <c r="D436" s="30">
        <v>0</v>
      </c>
      <c r="E436" s="30">
        <v>0</v>
      </c>
    </row>
    <row r="437" spans="1:15" x14ac:dyDescent="0.35">
      <c r="A437" s="119">
        <v>45992</v>
      </c>
      <c r="B437" s="30" t="s">
        <v>18</v>
      </c>
      <c r="C437" s="30">
        <v>11.5</v>
      </c>
      <c r="D437" s="30">
        <v>0</v>
      </c>
      <c r="E437" s="30">
        <v>0</v>
      </c>
    </row>
    <row r="438" spans="1:15" x14ac:dyDescent="0.35">
      <c r="A438" s="119">
        <v>45992</v>
      </c>
      <c r="B438" s="30" t="s">
        <v>20</v>
      </c>
      <c r="C438" s="30">
        <v>11.5</v>
      </c>
      <c r="D438" s="30">
        <v>0</v>
      </c>
      <c r="E438" s="30">
        <v>0</v>
      </c>
    </row>
    <row r="439" spans="1:15" x14ac:dyDescent="0.35">
      <c r="A439" s="119">
        <v>45992</v>
      </c>
      <c r="B439" s="30" t="s">
        <v>4</v>
      </c>
      <c r="C439" s="30">
        <v>3.7999999999992724</v>
      </c>
      <c r="D439" s="30">
        <v>7.2000000000007276</v>
      </c>
      <c r="E439" s="30">
        <v>0</v>
      </c>
      <c r="F439" s="30">
        <v>0</v>
      </c>
      <c r="O439" s="30" t="s">
        <v>190</v>
      </c>
    </row>
    <row r="440" spans="1:15" x14ac:dyDescent="0.35">
      <c r="A440" s="119">
        <v>45992</v>
      </c>
      <c r="B440" s="30" t="s">
        <v>2</v>
      </c>
      <c r="C440" s="30">
        <v>2</v>
      </c>
      <c r="D440" s="30">
        <v>9</v>
      </c>
      <c r="E440" s="30">
        <v>0</v>
      </c>
      <c r="F440" s="30">
        <v>0</v>
      </c>
      <c r="O440" s="30" t="s">
        <v>188</v>
      </c>
    </row>
    <row r="441" spans="1:15" x14ac:dyDescent="0.35">
      <c r="A441" s="119">
        <v>45992</v>
      </c>
      <c r="B441" s="30" t="s">
        <v>3</v>
      </c>
      <c r="C441" s="30">
        <v>2</v>
      </c>
      <c r="D441" s="30">
        <v>9</v>
      </c>
      <c r="E441" s="30">
        <v>0</v>
      </c>
      <c r="F441" s="30">
        <v>0</v>
      </c>
      <c r="O441" s="30" t="s">
        <v>180</v>
      </c>
    </row>
    <row r="442" spans="1:15" x14ac:dyDescent="0.35">
      <c r="A442" s="119">
        <v>45992</v>
      </c>
      <c r="B442" s="30" t="s">
        <v>5</v>
      </c>
      <c r="C442" s="30">
        <v>0</v>
      </c>
      <c r="D442" s="30">
        <v>0</v>
      </c>
      <c r="E442" s="30">
        <v>11</v>
      </c>
      <c r="F442" s="30">
        <v>0</v>
      </c>
      <c r="O442" s="30" t="s">
        <v>38</v>
      </c>
    </row>
    <row r="443" spans="1:15" x14ac:dyDescent="0.35">
      <c r="A443" s="119">
        <v>45992</v>
      </c>
      <c r="B443" s="30" t="s">
        <v>6</v>
      </c>
      <c r="C443" s="30">
        <v>0</v>
      </c>
      <c r="D443" s="30">
        <v>0</v>
      </c>
      <c r="E443" s="30">
        <v>11</v>
      </c>
      <c r="F443" s="30">
        <v>0</v>
      </c>
      <c r="O443" s="30" t="s">
        <v>181</v>
      </c>
    </row>
    <row r="444" spans="1:15" x14ac:dyDescent="0.35">
      <c r="A444" s="119">
        <v>45992</v>
      </c>
      <c r="B444" s="30" t="s">
        <v>8</v>
      </c>
      <c r="C444" s="30">
        <v>3</v>
      </c>
      <c r="D444" s="30">
        <v>8</v>
      </c>
      <c r="E444" s="30">
        <v>0</v>
      </c>
      <c r="F444" s="30">
        <v>0</v>
      </c>
      <c r="O444" s="30" t="s">
        <v>182</v>
      </c>
    </row>
    <row r="445" spans="1:15" x14ac:dyDescent="0.35">
      <c r="A445" s="119">
        <v>45992</v>
      </c>
      <c r="B445" s="30" t="s">
        <v>7</v>
      </c>
      <c r="C445" s="30">
        <v>2.6000000000003638</v>
      </c>
      <c r="D445" s="30">
        <v>8.3999999999996362</v>
      </c>
      <c r="E445" s="30">
        <v>0</v>
      </c>
      <c r="F445" s="30">
        <v>0</v>
      </c>
      <c r="O445" s="30" t="s">
        <v>183</v>
      </c>
    </row>
    <row r="446" spans="1:15" x14ac:dyDescent="0.35">
      <c r="A446" s="119">
        <v>45992</v>
      </c>
      <c r="B446" s="30" t="s">
        <v>9</v>
      </c>
      <c r="C446" s="30">
        <v>11</v>
      </c>
      <c r="D446" s="30">
        <v>0</v>
      </c>
      <c r="E446" s="30">
        <v>0</v>
      </c>
      <c r="F446" s="30">
        <v>0</v>
      </c>
    </row>
    <row r="447" spans="1:15" x14ac:dyDescent="0.35">
      <c r="A447" s="119">
        <v>45992</v>
      </c>
      <c r="B447" s="30" t="s">
        <v>10</v>
      </c>
      <c r="C447" s="30">
        <v>11</v>
      </c>
      <c r="D447" s="30">
        <v>0</v>
      </c>
      <c r="E447" s="30">
        <v>0</v>
      </c>
      <c r="F447" s="30">
        <v>0</v>
      </c>
    </row>
    <row r="448" spans="1:15" x14ac:dyDescent="0.35">
      <c r="A448" s="119">
        <v>45992</v>
      </c>
      <c r="B448" s="30" t="s">
        <v>11</v>
      </c>
      <c r="C448" s="30">
        <v>11</v>
      </c>
      <c r="D448" s="30">
        <v>0</v>
      </c>
      <c r="E448" s="30">
        <v>0</v>
      </c>
      <c r="F448" s="30">
        <v>0</v>
      </c>
    </row>
    <row r="449" spans="1:15" x14ac:dyDescent="0.35">
      <c r="A449" s="119">
        <v>45992</v>
      </c>
      <c r="B449" s="30" t="s">
        <v>21</v>
      </c>
      <c r="C449" s="30">
        <v>0</v>
      </c>
      <c r="D449" s="30">
        <v>0</v>
      </c>
      <c r="E449" s="30">
        <v>0</v>
      </c>
      <c r="F449" s="30">
        <v>1</v>
      </c>
    </row>
    <row r="450" spans="1:15" x14ac:dyDescent="0.35">
      <c r="A450" s="119">
        <v>45992</v>
      </c>
      <c r="B450" s="30" t="s">
        <v>22</v>
      </c>
      <c r="C450" s="30">
        <v>0</v>
      </c>
      <c r="D450" s="30">
        <v>0</v>
      </c>
      <c r="E450" s="30">
        <v>0</v>
      </c>
      <c r="F450" s="30">
        <v>1</v>
      </c>
    </row>
    <row r="451" spans="1:15" x14ac:dyDescent="0.35">
      <c r="A451" s="119">
        <v>45993</v>
      </c>
      <c r="B451" s="30" t="s">
        <v>13</v>
      </c>
      <c r="C451" s="30">
        <v>0</v>
      </c>
      <c r="D451" s="30">
        <v>0</v>
      </c>
      <c r="E451" s="30">
        <v>0</v>
      </c>
    </row>
    <row r="452" spans="1:15" x14ac:dyDescent="0.35">
      <c r="A452" s="119">
        <v>45993</v>
      </c>
      <c r="B452" s="30" t="s">
        <v>14</v>
      </c>
      <c r="C452" s="30">
        <v>10</v>
      </c>
      <c r="D452" s="30">
        <v>0</v>
      </c>
      <c r="E452" s="30">
        <v>0</v>
      </c>
    </row>
    <row r="453" spans="1:15" x14ac:dyDescent="0.35">
      <c r="A453" s="119">
        <v>45993</v>
      </c>
      <c r="B453" s="30" t="s">
        <v>15</v>
      </c>
      <c r="C453" s="30">
        <v>10</v>
      </c>
      <c r="D453" s="30">
        <v>0</v>
      </c>
      <c r="E453" s="30">
        <v>0</v>
      </c>
    </row>
    <row r="454" spans="1:15" x14ac:dyDescent="0.35">
      <c r="A454" s="119">
        <v>45993</v>
      </c>
      <c r="B454" s="30" t="s">
        <v>16</v>
      </c>
      <c r="C454" s="30">
        <v>10</v>
      </c>
      <c r="D454" s="30">
        <v>0</v>
      </c>
      <c r="E454" s="30">
        <v>0</v>
      </c>
    </row>
    <row r="455" spans="1:15" x14ac:dyDescent="0.35">
      <c r="A455" s="119">
        <v>45993</v>
      </c>
      <c r="B455" s="30" t="s">
        <v>17</v>
      </c>
      <c r="C455" s="30">
        <v>10</v>
      </c>
      <c r="D455" s="30">
        <v>0</v>
      </c>
      <c r="E455" s="30">
        <v>0</v>
      </c>
    </row>
    <row r="456" spans="1:15" x14ac:dyDescent="0.35">
      <c r="A456" s="119">
        <v>45993</v>
      </c>
      <c r="B456" s="30" t="s">
        <v>18</v>
      </c>
      <c r="C456" s="30">
        <v>10</v>
      </c>
      <c r="D456" s="30">
        <v>0</v>
      </c>
      <c r="E456" s="30">
        <v>0</v>
      </c>
    </row>
    <row r="457" spans="1:15" x14ac:dyDescent="0.35">
      <c r="A457" s="119">
        <v>45993</v>
      </c>
      <c r="B457" s="30" t="s">
        <v>20</v>
      </c>
      <c r="C457" s="30">
        <v>11.5</v>
      </c>
      <c r="D457" s="30">
        <v>0</v>
      </c>
      <c r="E457" s="30">
        <v>0</v>
      </c>
    </row>
    <row r="458" spans="1:15" x14ac:dyDescent="0.35">
      <c r="A458" s="119">
        <v>45993</v>
      </c>
      <c r="B458" s="30" t="s">
        <v>4</v>
      </c>
      <c r="C458" s="30">
        <v>8.3999999999996362</v>
      </c>
      <c r="D458" s="30">
        <v>1.6000000000003638</v>
      </c>
      <c r="E458" s="30">
        <v>0</v>
      </c>
      <c r="F458" s="30">
        <v>0</v>
      </c>
      <c r="O458" s="30" t="s">
        <v>190</v>
      </c>
    </row>
    <row r="459" spans="1:15" x14ac:dyDescent="0.35">
      <c r="A459" s="119">
        <v>45993</v>
      </c>
      <c r="B459" s="30" t="s">
        <v>2</v>
      </c>
      <c r="C459" s="30">
        <v>0</v>
      </c>
      <c r="D459" s="30">
        <v>10</v>
      </c>
      <c r="E459" s="30">
        <v>0</v>
      </c>
      <c r="F459" s="30">
        <v>0</v>
      </c>
      <c r="O459" s="30" t="s">
        <v>199</v>
      </c>
    </row>
    <row r="460" spans="1:15" x14ac:dyDescent="0.35">
      <c r="A460" s="119">
        <v>45993</v>
      </c>
      <c r="B460" s="30" t="s">
        <v>3</v>
      </c>
      <c r="C460" s="30">
        <v>4</v>
      </c>
      <c r="D460" s="30">
        <v>6</v>
      </c>
      <c r="E460" s="30">
        <v>0</v>
      </c>
      <c r="F460" s="30">
        <v>0</v>
      </c>
      <c r="O460" s="30" t="s">
        <v>180</v>
      </c>
    </row>
    <row r="461" spans="1:15" x14ac:dyDescent="0.35">
      <c r="A461" s="119">
        <v>45993</v>
      </c>
      <c r="B461" s="30" t="s">
        <v>5</v>
      </c>
      <c r="C461" s="30">
        <v>0</v>
      </c>
      <c r="D461" s="30">
        <v>0</v>
      </c>
      <c r="E461" s="30">
        <v>10</v>
      </c>
      <c r="F461" s="30">
        <v>0</v>
      </c>
      <c r="O461" s="30" t="s">
        <v>38</v>
      </c>
    </row>
    <row r="462" spans="1:15" x14ac:dyDescent="0.35">
      <c r="A462" s="119">
        <v>45993</v>
      </c>
      <c r="B462" s="30" t="s">
        <v>6</v>
      </c>
      <c r="C462" s="30">
        <v>0</v>
      </c>
      <c r="D462" s="30">
        <v>0</v>
      </c>
      <c r="E462" s="30">
        <v>0</v>
      </c>
      <c r="F462" s="30">
        <v>0</v>
      </c>
      <c r="O462" s="30" t="s">
        <v>181</v>
      </c>
    </row>
    <row r="463" spans="1:15" x14ac:dyDescent="0.35">
      <c r="A463" s="119">
        <v>45993</v>
      </c>
      <c r="B463" s="30" t="s">
        <v>8</v>
      </c>
      <c r="C463" s="30">
        <v>7</v>
      </c>
      <c r="D463" s="30">
        <v>3</v>
      </c>
      <c r="E463" s="30">
        <v>0</v>
      </c>
      <c r="F463" s="30">
        <v>0</v>
      </c>
      <c r="O463" s="30" t="s">
        <v>182</v>
      </c>
    </row>
    <row r="464" spans="1:15" x14ac:dyDescent="0.35">
      <c r="A464" s="119">
        <v>45993</v>
      </c>
      <c r="B464" s="30" t="s">
        <v>7</v>
      </c>
      <c r="C464" s="30">
        <v>3.5</v>
      </c>
      <c r="D464" s="30">
        <v>6.5</v>
      </c>
      <c r="E464" s="30">
        <v>4</v>
      </c>
      <c r="F464" s="30">
        <v>0</v>
      </c>
      <c r="O464" s="30" t="s">
        <v>183</v>
      </c>
    </row>
    <row r="465" spans="1:15" x14ac:dyDescent="0.35">
      <c r="A465" s="119">
        <v>45993</v>
      </c>
      <c r="B465" s="30" t="s">
        <v>9</v>
      </c>
      <c r="C465" s="30">
        <v>11</v>
      </c>
      <c r="D465" s="30">
        <v>0</v>
      </c>
      <c r="E465" s="30">
        <v>0</v>
      </c>
      <c r="F465" s="30">
        <v>0</v>
      </c>
    </row>
    <row r="466" spans="1:15" x14ac:dyDescent="0.35">
      <c r="A466" s="119">
        <v>45993</v>
      </c>
      <c r="B466" s="30" t="s">
        <v>10</v>
      </c>
      <c r="C466" s="30">
        <v>11</v>
      </c>
      <c r="D466" s="30">
        <v>0</v>
      </c>
      <c r="E466" s="30">
        <v>0</v>
      </c>
      <c r="F466" s="30">
        <v>0</v>
      </c>
    </row>
    <row r="467" spans="1:15" x14ac:dyDescent="0.35">
      <c r="A467" s="119">
        <v>45993</v>
      </c>
      <c r="B467" s="30" t="s">
        <v>11</v>
      </c>
      <c r="C467" s="30">
        <v>11</v>
      </c>
      <c r="D467" s="30">
        <v>0</v>
      </c>
      <c r="E467" s="30">
        <v>0</v>
      </c>
      <c r="F467" s="30">
        <v>0</v>
      </c>
    </row>
    <row r="468" spans="1:15" x14ac:dyDescent="0.35">
      <c r="A468" s="119">
        <v>45993</v>
      </c>
      <c r="B468" s="30" t="s">
        <v>21</v>
      </c>
      <c r="C468" s="30">
        <v>0</v>
      </c>
      <c r="D468" s="30">
        <v>0</v>
      </c>
      <c r="E468" s="30">
        <v>0</v>
      </c>
      <c r="F468" s="30">
        <v>1</v>
      </c>
    </row>
    <row r="469" spans="1:15" x14ac:dyDescent="0.35">
      <c r="A469" s="119">
        <v>45993</v>
      </c>
      <c r="B469" s="30" t="s">
        <v>22</v>
      </c>
      <c r="C469" s="30">
        <v>0</v>
      </c>
      <c r="D469" s="30">
        <v>0</v>
      </c>
      <c r="E469" s="30">
        <v>0</v>
      </c>
      <c r="F469" s="30">
        <v>1</v>
      </c>
    </row>
    <row r="470" spans="1:15" x14ac:dyDescent="0.35">
      <c r="A470" s="119">
        <v>45994</v>
      </c>
      <c r="B470" s="30" t="s">
        <v>13</v>
      </c>
      <c r="C470" s="30">
        <v>10</v>
      </c>
      <c r="D470" s="30">
        <v>0</v>
      </c>
      <c r="E470" s="30">
        <v>0</v>
      </c>
    </row>
    <row r="471" spans="1:15" x14ac:dyDescent="0.35">
      <c r="A471" s="119">
        <v>45994</v>
      </c>
      <c r="B471" s="30" t="s">
        <v>14</v>
      </c>
      <c r="C471" s="30">
        <v>10</v>
      </c>
      <c r="D471" s="30">
        <v>0</v>
      </c>
      <c r="E471" s="30">
        <v>0</v>
      </c>
    </row>
    <row r="472" spans="1:15" x14ac:dyDescent="0.35">
      <c r="A472" s="119">
        <v>45994</v>
      </c>
      <c r="B472" s="30" t="s">
        <v>15</v>
      </c>
      <c r="C472" s="30">
        <v>10</v>
      </c>
      <c r="D472" s="30">
        <v>0</v>
      </c>
      <c r="E472" s="30">
        <v>0</v>
      </c>
    </row>
    <row r="473" spans="1:15" x14ac:dyDescent="0.35">
      <c r="A473" s="119">
        <v>45994</v>
      </c>
      <c r="B473" s="30" t="s">
        <v>16</v>
      </c>
      <c r="C473" s="30">
        <v>10</v>
      </c>
      <c r="D473" s="30">
        <v>0</v>
      </c>
      <c r="E473" s="30">
        <v>0</v>
      </c>
    </row>
    <row r="474" spans="1:15" x14ac:dyDescent="0.35">
      <c r="A474" s="119">
        <v>45994</v>
      </c>
      <c r="B474" s="30" t="s">
        <v>17</v>
      </c>
      <c r="C474" s="30">
        <v>10</v>
      </c>
      <c r="D474" s="30">
        <v>0</v>
      </c>
      <c r="E474" s="30">
        <v>0</v>
      </c>
    </row>
    <row r="475" spans="1:15" x14ac:dyDescent="0.35">
      <c r="A475" s="119">
        <v>45994</v>
      </c>
      <c r="B475" s="30" t="s">
        <v>18</v>
      </c>
      <c r="C475" s="30">
        <v>10</v>
      </c>
      <c r="D475" s="30">
        <v>0</v>
      </c>
      <c r="E475" s="30">
        <v>0</v>
      </c>
    </row>
    <row r="476" spans="1:15" x14ac:dyDescent="0.35">
      <c r="A476" s="119">
        <v>45994</v>
      </c>
      <c r="B476" s="30" t="s">
        <v>20</v>
      </c>
      <c r="C476" s="30">
        <v>11.5</v>
      </c>
      <c r="D476" s="30">
        <v>0</v>
      </c>
      <c r="E476" s="30">
        <v>0</v>
      </c>
    </row>
    <row r="477" spans="1:15" x14ac:dyDescent="0.35">
      <c r="A477" s="119">
        <v>45994</v>
      </c>
      <c r="B477" s="30" t="s">
        <v>4</v>
      </c>
      <c r="C477" s="30">
        <v>1.8000000000010914</v>
      </c>
      <c r="D477" s="30">
        <v>8.1999999999989086</v>
      </c>
      <c r="E477" s="30">
        <v>0</v>
      </c>
      <c r="F477" s="30">
        <v>0</v>
      </c>
      <c r="O477" s="30" t="s">
        <v>190</v>
      </c>
    </row>
    <row r="478" spans="1:15" x14ac:dyDescent="0.35">
      <c r="A478" s="119">
        <v>45994</v>
      </c>
      <c r="B478" s="30" t="s">
        <v>2</v>
      </c>
      <c r="C478" s="30">
        <v>0</v>
      </c>
      <c r="D478" s="30">
        <v>10</v>
      </c>
      <c r="E478" s="30">
        <v>10</v>
      </c>
      <c r="F478" s="30">
        <v>0</v>
      </c>
      <c r="O478" s="30" t="s">
        <v>199</v>
      </c>
    </row>
    <row r="479" spans="1:15" x14ac:dyDescent="0.35">
      <c r="A479" s="119">
        <v>45994</v>
      </c>
      <c r="B479" s="30" t="s">
        <v>3</v>
      </c>
      <c r="C479" s="30">
        <v>5</v>
      </c>
      <c r="D479" s="30">
        <v>5</v>
      </c>
      <c r="E479" s="30">
        <v>0</v>
      </c>
      <c r="F479" s="30">
        <v>0</v>
      </c>
      <c r="O479" s="30" t="s">
        <v>196</v>
      </c>
    </row>
    <row r="480" spans="1:15" x14ac:dyDescent="0.35">
      <c r="A480" s="119">
        <v>45994</v>
      </c>
      <c r="B480" s="30" t="s">
        <v>5</v>
      </c>
      <c r="C480" s="30">
        <v>0</v>
      </c>
      <c r="D480" s="30">
        <v>0</v>
      </c>
      <c r="E480" s="30">
        <v>10</v>
      </c>
      <c r="F480" s="30">
        <v>0</v>
      </c>
      <c r="O480" s="30" t="s">
        <v>38</v>
      </c>
    </row>
    <row r="481" spans="1:15" x14ac:dyDescent="0.35">
      <c r="A481" s="119">
        <v>45994</v>
      </c>
      <c r="B481" s="30" t="s">
        <v>6</v>
      </c>
      <c r="C481" s="30">
        <v>0</v>
      </c>
      <c r="D481" s="30">
        <v>0</v>
      </c>
      <c r="E481" s="30">
        <v>10</v>
      </c>
      <c r="F481" s="30">
        <v>0</v>
      </c>
      <c r="O481" s="30" t="s">
        <v>181</v>
      </c>
    </row>
    <row r="482" spans="1:15" x14ac:dyDescent="0.35">
      <c r="A482" s="119">
        <v>45994</v>
      </c>
      <c r="B482" s="30" t="s">
        <v>8</v>
      </c>
      <c r="C482" s="30">
        <v>5</v>
      </c>
      <c r="D482" s="30">
        <v>5</v>
      </c>
      <c r="E482" s="30">
        <v>0</v>
      </c>
      <c r="F482" s="30">
        <v>0</v>
      </c>
      <c r="O482" s="30" t="s">
        <v>197</v>
      </c>
    </row>
    <row r="483" spans="1:15" x14ac:dyDescent="0.35">
      <c r="A483" s="119">
        <v>45994</v>
      </c>
      <c r="B483" s="30" t="s">
        <v>7</v>
      </c>
      <c r="C483" s="30">
        <v>4.3000000000001819</v>
      </c>
      <c r="D483" s="30">
        <v>5.6999999999998181</v>
      </c>
      <c r="E483" s="30">
        <v>0</v>
      </c>
      <c r="F483" s="30">
        <v>0</v>
      </c>
      <c r="O483" s="30" t="s">
        <v>183</v>
      </c>
    </row>
    <row r="484" spans="1:15" x14ac:dyDescent="0.35">
      <c r="A484" s="119">
        <v>45994</v>
      </c>
      <c r="B484" s="30" t="s">
        <v>9</v>
      </c>
      <c r="C484" s="30">
        <v>11</v>
      </c>
      <c r="D484" s="30">
        <v>0</v>
      </c>
      <c r="E484" s="30">
        <v>0</v>
      </c>
      <c r="F484" s="30">
        <v>0</v>
      </c>
    </row>
    <row r="485" spans="1:15" x14ac:dyDescent="0.35">
      <c r="A485" s="119">
        <v>45994</v>
      </c>
      <c r="B485" s="30" t="s">
        <v>10</v>
      </c>
      <c r="C485" s="30">
        <v>11</v>
      </c>
      <c r="D485" s="30">
        <v>0</v>
      </c>
      <c r="E485" s="30">
        <v>0</v>
      </c>
      <c r="F485" s="30">
        <v>0</v>
      </c>
    </row>
    <row r="486" spans="1:15" x14ac:dyDescent="0.35">
      <c r="A486" s="119">
        <v>45994</v>
      </c>
      <c r="B486" s="30" t="s">
        <v>11</v>
      </c>
      <c r="C486" s="30">
        <v>11</v>
      </c>
      <c r="D486" s="30">
        <v>0</v>
      </c>
      <c r="E486" s="30">
        <v>0</v>
      </c>
      <c r="F486" s="30">
        <v>0</v>
      </c>
    </row>
    <row r="487" spans="1:15" x14ac:dyDescent="0.35">
      <c r="A487" s="119">
        <v>45994</v>
      </c>
      <c r="B487" s="30" t="s">
        <v>21</v>
      </c>
      <c r="C487" s="30">
        <v>0</v>
      </c>
      <c r="D487" s="30">
        <v>0</v>
      </c>
      <c r="E487" s="30">
        <v>0</v>
      </c>
      <c r="F487" s="30">
        <v>1</v>
      </c>
    </row>
    <row r="488" spans="1:15" x14ac:dyDescent="0.35">
      <c r="A488" s="119">
        <v>45994</v>
      </c>
      <c r="B488" s="30" t="s">
        <v>22</v>
      </c>
      <c r="C488" s="30">
        <v>0</v>
      </c>
      <c r="D488" s="30">
        <v>0</v>
      </c>
      <c r="E488" s="30">
        <v>0</v>
      </c>
      <c r="F488" s="30">
        <v>1</v>
      </c>
    </row>
    <row r="489" spans="1:15" x14ac:dyDescent="0.35">
      <c r="A489" s="119">
        <v>45995</v>
      </c>
      <c r="B489" s="30" t="s">
        <v>13</v>
      </c>
      <c r="C489" s="30">
        <v>10</v>
      </c>
      <c r="D489" s="30">
        <v>0</v>
      </c>
      <c r="E489" s="30">
        <v>0</v>
      </c>
    </row>
    <row r="490" spans="1:15" x14ac:dyDescent="0.35">
      <c r="A490" s="119">
        <v>45995</v>
      </c>
      <c r="B490" s="30" t="s">
        <v>14</v>
      </c>
      <c r="C490" s="30">
        <v>10</v>
      </c>
      <c r="D490" s="30">
        <v>0</v>
      </c>
      <c r="E490" s="30">
        <v>0</v>
      </c>
    </row>
    <row r="491" spans="1:15" x14ac:dyDescent="0.35">
      <c r="A491" s="119">
        <v>45995</v>
      </c>
      <c r="B491" s="30" t="s">
        <v>15</v>
      </c>
      <c r="C491" s="30">
        <v>10</v>
      </c>
      <c r="D491" s="30">
        <v>0</v>
      </c>
      <c r="E491" s="30">
        <v>0</v>
      </c>
    </row>
    <row r="492" spans="1:15" x14ac:dyDescent="0.35">
      <c r="A492" s="119">
        <v>45995</v>
      </c>
      <c r="B492" s="30" t="s">
        <v>16</v>
      </c>
      <c r="C492" s="30">
        <v>10</v>
      </c>
      <c r="D492" s="30">
        <v>0</v>
      </c>
      <c r="E492" s="30">
        <v>0</v>
      </c>
    </row>
    <row r="493" spans="1:15" x14ac:dyDescent="0.35">
      <c r="A493" s="119">
        <v>45995</v>
      </c>
      <c r="B493" s="30" t="s">
        <v>17</v>
      </c>
      <c r="C493" s="30">
        <v>10</v>
      </c>
      <c r="D493" s="30">
        <v>0</v>
      </c>
      <c r="E493" s="30">
        <v>0</v>
      </c>
    </row>
    <row r="494" spans="1:15" x14ac:dyDescent="0.35">
      <c r="A494" s="119">
        <v>45995</v>
      </c>
      <c r="B494" s="30" t="s">
        <v>18</v>
      </c>
      <c r="C494" s="30">
        <v>10</v>
      </c>
      <c r="D494" s="30">
        <v>0</v>
      </c>
      <c r="E494" s="30">
        <v>0</v>
      </c>
    </row>
    <row r="495" spans="1:15" x14ac:dyDescent="0.35">
      <c r="A495" s="119">
        <v>45995</v>
      </c>
      <c r="B495" s="30" t="s">
        <v>20</v>
      </c>
      <c r="C495" s="30">
        <v>11.5</v>
      </c>
      <c r="D495" s="30">
        <v>0</v>
      </c>
      <c r="E495" s="30">
        <v>0</v>
      </c>
    </row>
    <row r="496" spans="1:15" x14ac:dyDescent="0.35">
      <c r="A496" s="119">
        <v>45995</v>
      </c>
      <c r="B496" s="30" t="s">
        <v>4</v>
      </c>
      <c r="C496" s="30">
        <v>7.1000000000003638</v>
      </c>
      <c r="D496" s="30">
        <v>2.8999999999996362</v>
      </c>
      <c r="E496" s="30">
        <v>0</v>
      </c>
      <c r="F496" s="30">
        <v>0</v>
      </c>
      <c r="O496" s="30" t="s">
        <v>190</v>
      </c>
    </row>
    <row r="497" spans="1:15" x14ac:dyDescent="0.35">
      <c r="A497" s="119">
        <v>45995</v>
      </c>
      <c r="B497" s="30" t="s">
        <v>2</v>
      </c>
      <c r="C497" s="30">
        <v>0</v>
      </c>
      <c r="D497" s="30">
        <v>10</v>
      </c>
      <c r="E497" s="30">
        <v>10</v>
      </c>
      <c r="F497" s="30">
        <v>0</v>
      </c>
      <c r="O497" s="30" t="s">
        <v>199</v>
      </c>
    </row>
    <row r="498" spans="1:15" x14ac:dyDescent="0.35">
      <c r="A498" s="119">
        <v>45995</v>
      </c>
      <c r="B498" s="30" t="s">
        <v>3</v>
      </c>
      <c r="C498" s="30">
        <v>7</v>
      </c>
      <c r="D498" s="30">
        <v>3</v>
      </c>
      <c r="E498" s="30">
        <v>0</v>
      </c>
      <c r="F498" s="30">
        <v>0</v>
      </c>
      <c r="O498" s="30" t="s">
        <v>196</v>
      </c>
    </row>
    <row r="499" spans="1:15" x14ac:dyDescent="0.35">
      <c r="A499" s="119">
        <v>45995</v>
      </c>
      <c r="B499" s="30" t="s">
        <v>5</v>
      </c>
      <c r="C499" s="30">
        <v>0</v>
      </c>
      <c r="D499" s="30">
        <v>0</v>
      </c>
      <c r="E499" s="30">
        <v>10</v>
      </c>
      <c r="F499" s="30">
        <v>0</v>
      </c>
      <c r="O499" s="30" t="s">
        <v>38</v>
      </c>
    </row>
    <row r="500" spans="1:15" x14ac:dyDescent="0.35">
      <c r="A500" s="119">
        <v>45995</v>
      </c>
      <c r="B500" s="30" t="s">
        <v>6</v>
      </c>
      <c r="C500" s="30">
        <v>0</v>
      </c>
      <c r="D500" s="30">
        <v>0</v>
      </c>
      <c r="E500" s="30">
        <v>10</v>
      </c>
      <c r="F500" s="30">
        <v>0</v>
      </c>
      <c r="O500" s="30" t="s">
        <v>181</v>
      </c>
    </row>
    <row r="501" spans="1:15" x14ac:dyDescent="0.35">
      <c r="A501" s="119">
        <v>45995</v>
      </c>
      <c r="B501" s="30" t="s">
        <v>8</v>
      </c>
      <c r="C501" s="30">
        <v>4</v>
      </c>
      <c r="D501" s="30">
        <v>6</v>
      </c>
      <c r="E501" s="30">
        <v>0</v>
      </c>
      <c r="F501" s="30">
        <v>0</v>
      </c>
      <c r="O501" s="30" t="s">
        <v>197</v>
      </c>
    </row>
    <row r="502" spans="1:15" x14ac:dyDescent="0.35">
      <c r="A502" s="119">
        <v>45995</v>
      </c>
      <c r="B502" s="30" t="s">
        <v>7</v>
      </c>
      <c r="C502" s="30">
        <v>5.6999999999998181</v>
      </c>
      <c r="D502" s="30">
        <v>4.3000000000001819</v>
      </c>
      <c r="E502" s="30">
        <v>0</v>
      </c>
      <c r="F502" s="30">
        <v>0</v>
      </c>
      <c r="O502" s="30" t="s">
        <v>183</v>
      </c>
    </row>
    <row r="503" spans="1:15" x14ac:dyDescent="0.35">
      <c r="A503" s="119">
        <v>45995</v>
      </c>
      <c r="B503" s="30" t="s">
        <v>9</v>
      </c>
      <c r="C503" s="30">
        <v>11</v>
      </c>
      <c r="D503" s="30">
        <v>0</v>
      </c>
      <c r="E503" s="30">
        <v>0</v>
      </c>
      <c r="F503" s="30">
        <v>0</v>
      </c>
    </row>
    <row r="504" spans="1:15" x14ac:dyDescent="0.35">
      <c r="A504" s="119">
        <v>45995</v>
      </c>
      <c r="B504" s="30" t="s">
        <v>10</v>
      </c>
      <c r="C504" s="30">
        <v>11</v>
      </c>
      <c r="D504" s="30">
        <v>0</v>
      </c>
      <c r="E504" s="30">
        <v>0</v>
      </c>
      <c r="F504" s="30">
        <v>0</v>
      </c>
    </row>
    <row r="505" spans="1:15" x14ac:dyDescent="0.35">
      <c r="A505" s="119">
        <v>45995</v>
      </c>
      <c r="B505" s="30" t="s">
        <v>11</v>
      </c>
      <c r="C505" s="30">
        <v>11</v>
      </c>
      <c r="D505" s="30">
        <v>0</v>
      </c>
      <c r="E505" s="30">
        <v>0</v>
      </c>
      <c r="F505" s="30">
        <v>0</v>
      </c>
    </row>
    <row r="506" spans="1:15" x14ac:dyDescent="0.35">
      <c r="A506" s="119">
        <v>45995</v>
      </c>
      <c r="B506" s="30" t="s">
        <v>21</v>
      </c>
      <c r="C506" s="30">
        <v>0</v>
      </c>
      <c r="D506" s="30">
        <v>0</v>
      </c>
      <c r="E506" s="30">
        <v>0</v>
      </c>
      <c r="F506" s="30">
        <v>2</v>
      </c>
    </row>
    <row r="507" spans="1:15" x14ac:dyDescent="0.35">
      <c r="A507" s="119">
        <v>45995</v>
      </c>
      <c r="B507" s="30" t="s">
        <v>22</v>
      </c>
      <c r="C507" s="30">
        <v>0</v>
      </c>
      <c r="D507" s="30">
        <v>0</v>
      </c>
      <c r="E507" s="30">
        <v>0</v>
      </c>
      <c r="F507" s="30">
        <v>2</v>
      </c>
    </row>
    <row r="508" spans="1:15" x14ac:dyDescent="0.35">
      <c r="A508" s="119">
        <v>45997</v>
      </c>
      <c r="B508" s="30" t="s">
        <v>13</v>
      </c>
      <c r="C508" s="30">
        <v>10</v>
      </c>
      <c r="D508" s="30">
        <v>0</v>
      </c>
      <c r="E508" s="30">
        <v>0</v>
      </c>
    </row>
    <row r="509" spans="1:15" x14ac:dyDescent="0.35">
      <c r="A509" s="119">
        <v>45997</v>
      </c>
      <c r="B509" s="30" t="s">
        <v>14</v>
      </c>
      <c r="C509" s="30">
        <v>10</v>
      </c>
      <c r="D509" s="30">
        <v>0</v>
      </c>
      <c r="E509" s="30">
        <v>0</v>
      </c>
    </row>
    <row r="510" spans="1:15" x14ac:dyDescent="0.35">
      <c r="A510" s="119">
        <v>45997</v>
      </c>
      <c r="B510" s="30" t="s">
        <v>15</v>
      </c>
      <c r="C510" s="30">
        <v>10</v>
      </c>
      <c r="D510" s="30">
        <v>0</v>
      </c>
      <c r="E510" s="30">
        <v>0</v>
      </c>
    </row>
    <row r="511" spans="1:15" x14ac:dyDescent="0.35">
      <c r="A511" s="119">
        <v>45997</v>
      </c>
      <c r="B511" s="30" t="s">
        <v>16</v>
      </c>
      <c r="C511" s="30">
        <v>10</v>
      </c>
      <c r="D511" s="30">
        <v>0</v>
      </c>
      <c r="E511" s="30">
        <v>0</v>
      </c>
    </row>
    <row r="512" spans="1:15" x14ac:dyDescent="0.35">
      <c r="A512" s="119">
        <v>45997</v>
      </c>
      <c r="B512" s="30" t="s">
        <v>17</v>
      </c>
      <c r="C512" s="30">
        <v>10</v>
      </c>
      <c r="D512" s="30">
        <v>0</v>
      </c>
      <c r="E512" s="30">
        <v>0</v>
      </c>
    </row>
    <row r="513" spans="1:15" x14ac:dyDescent="0.35">
      <c r="A513" s="119">
        <v>45997</v>
      </c>
      <c r="B513" s="30" t="s">
        <v>18</v>
      </c>
      <c r="C513" s="30">
        <v>10</v>
      </c>
      <c r="D513" s="30">
        <v>0</v>
      </c>
      <c r="E513" s="30">
        <v>0</v>
      </c>
    </row>
    <row r="514" spans="1:15" x14ac:dyDescent="0.35">
      <c r="A514" s="119">
        <v>45997</v>
      </c>
      <c r="B514" s="30" t="s">
        <v>20</v>
      </c>
      <c r="C514" s="30">
        <v>11.5</v>
      </c>
      <c r="D514" s="30">
        <v>0</v>
      </c>
      <c r="E514" s="30">
        <v>0</v>
      </c>
    </row>
    <row r="515" spans="1:15" x14ac:dyDescent="0.35">
      <c r="A515" s="119">
        <v>45997</v>
      </c>
      <c r="B515" s="30" t="s">
        <v>4</v>
      </c>
      <c r="C515" s="30">
        <v>0</v>
      </c>
      <c r="D515" s="30">
        <v>10</v>
      </c>
      <c r="E515" s="30">
        <v>0</v>
      </c>
      <c r="F515" s="30">
        <v>0</v>
      </c>
      <c r="O515" s="30" t="s">
        <v>203</v>
      </c>
    </row>
    <row r="516" spans="1:15" x14ac:dyDescent="0.35">
      <c r="A516" s="119">
        <v>45997</v>
      </c>
      <c r="B516" s="30" t="s">
        <v>2</v>
      </c>
      <c r="C516" s="30">
        <v>0</v>
      </c>
      <c r="D516" s="30">
        <v>10</v>
      </c>
      <c r="E516" s="30">
        <v>0</v>
      </c>
      <c r="F516" s="30">
        <v>0</v>
      </c>
      <c r="O516" s="30" t="s">
        <v>203</v>
      </c>
    </row>
    <row r="517" spans="1:15" x14ac:dyDescent="0.35">
      <c r="A517" s="119">
        <v>45997</v>
      </c>
      <c r="B517" s="30" t="s">
        <v>3</v>
      </c>
      <c r="C517" s="30">
        <v>0</v>
      </c>
      <c r="D517" s="30">
        <v>10</v>
      </c>
      <c r="E517" s="30">
        <v>0</v>
      </c>
      <c r="F517" s="30">
        <v>0</v>
      </c>
      <c r="O517" s="30" t="s">
        <v>203</v>
      </c>
    </row>
    <row r="518" spans="1:15" x14ac:dyDescent="0.35">
      <c r="A518" s="119">
        <v>45997</v>
      </c>
      <c r="B518" s="30" t="s">
        <v>82</v>
      </c>
      <c r="C518" s="30">
        <v>0</v>
      </c>
      <c r="D518" s="30">
        <v>0</v>
      </c>
      <c r="E518" s="30">
        <v>10</v>
      </c>
      <c r="F518" s="30">
        <v>0</v>
      </c>
      <c r="O518" s="30" t="s">
        <v>38</v>
      </c>
    </row>
    <row r="519" spans="1:15" x14ac:dyDescent="0.35">
      <c r="A519" s="119">
        <v>45997</v>
      </c>
      <c r="B519" s="30" t="s">
        <v>81</v>
      </c>
      <c r="C519" s="30">
        <v>0</v>
      </c>
      <c r="D519" s="30">
        <v>0</v>
      </c>
      <c r="E519" s="30">
        <v>10</v>
      </c>
      <c r="F519" s="30">
        <v>0</v>
      </c>
      <c r="O519" s="30" t="s">
        <v>181</v>
      </c>
    </row>
    <row r="520" spans="1:15" x14ac:dyDescent="0.35">
      <c r="A520" s="119">
        <v>45997</v>
      </c>
      <c r="B520" s="30" t="s">
        <v>8</v>
      </c>
      <c r="C520" s="30">
        <v>0</v>
      </c>
      <c r="D520" s="30">
        <v>0</v>
      </c>
      <c r="E520" s="30">
        <v>10</v>
      </c>
      <c r="F520" s="30">
        <v>0</v>
      </c>
      <c r="O520" s="30" t="s">
        <v>181</v>
      </c>
    </row>
    <row r="521" spans="1:15" x14ac:dyDescent="0.35">
      <c r="A521" s="119">
        <v>45997</v>
      </c>
      <c r="B521" s="30" t="s">
        <v>7</v>
      </c>
      <c r="C521" s="30">
        <v>0</v>
      </c>
      <c r="D521" s="30">
        <v>10</v>
      </c>
      <c r="E521" s="30">
        <v>0</v>
      </c>
      <c r="F521" s="30">
        <v>0</v>
      </c>
      <c r="O521" s="30" t="s">
        <v>203</v>
      </c>
    </row>
    <row r="522" spans="1:15" x14ac:dyDescent="0.35">
      <c r="A522" s="119">
        <v>45997</v>
      </c>
      <c r="B522" s="30" t="s">
        <v>9</v>
      </c>
      <c r="C522" s="30">
        <v>11</v>
      </c>
      <c r="D522" s="30">
        <v>0</v>
      </c>
      <c r="E522" s="30">
        <v>0</v>
      </c>
      <c r="F522" s="30">
        <v>0</v>
      </c>
    </row>
    <row r="523" spans="1:15" x14ac:dyDescent="0.35">
      <c r="A523" s="119">
        <v>45997</v>
      </c>
      <c r="B523" s="30" t="s">
        <v>10</v>
      </c>
      <c r="C523" s="30">
        <v>11</v>
      </c>
      <c r="D523" s="30">
        <v>0</v>
      </c>
      <c r="E523" s="30">
        <v>0</v>
      </c>
      <c r="F523" s="30">
        <v>0</v>
      </c>
    </row>
    <row r="524" spans="1:15" x14ac:dyDescent="0.35">
      <c r="A524" s="119">
        <v>45997</v>
      </c>
      <c r="B524" s="30" t="s">
        <v>11</v>
      </c>
      <c r="C524" s="30">
        <v>11</v>
      </c>
      <c r="D524" s="30">
        <v>0</v>
      </c>
      <c r="E524" s="30">
        <v>0</v>
      </c>
      <c r="F524" s="30">
        <v>0</v>
      </c>
    </row>
    <row r="525" spans="1:15" x14ac:dyDescent="0.35">
      <c r="A525" s="119">
        <v>45997</v>
      </c>
      <c r="B525" s="30" t="s">
        <v>21</v>
      </c>
      <c r="C525" s="30">
        <v>0</v>
      </c>
      <c r="D525" s="30">
        <v>0</v>
      </c>
      <c r="E525" s="30">
        <v>0</v>
      </c>
      <c r="F525" s="30">
        <v>1</v>
      </c>
    </row>
    <row r="526" spans="1:15" x14ac:dyDescent="0.35">
      <c r="A526" s="119">
        <v>45997</v>
      </c>
      <c r="B526" s="30" t="s">
        <v>22</v>
      </c>
      <c r="C526" s="30">
        <v>0</v>
      </c>
      <c r="D526" s="30">
        <v>0</v>
      </c>
      <c r="E526" s="30">
        <v>0</v>
      </c>
      <c r="F526" s="30">
        <v>1</v>
      </c>
    </row>
    <row r="527" spans="1:15" x14ac:dyDescent="0.35">
      <c r="A527" s="119">
        <v>45998</v>
      </c>
      <c r="B527" s="30" t="s">
        <v>13</v>
      </c>
      <c r="C527" s="30">
        <v>10</v>
      </c>
      <c r="D527" s="30">
        <v>0</v>
      </c>
      <c r="E527" s="30">
        <v>0</v>
      </c>
    </row>
    <row r="528" spans="1:15" x14ac:dyDescent="0.35">
      <c r="A528" s="119">
        <v>45998</v>
      </c>
      <c r="B528" s="30" t="s">
        <v>14</v>
      </c>
      <c r="C528" s="30">
        <v>10</v>
      </c>
      <c r="D528" s="30">
        <v>0</v>
      </c>
      <c r="E528" s="30">
        <v>0</v>
      </c>
    </row>
    <row r="529" spans="1:15" x14ac:dyDescent="0.35">
      <c r="A529" s="119">
        <v>45998</v>
      </c>
      <c r="B529" s="30" t="s">
        <v>15</v>
      </c>
      <c r="C529" s="30">
        <v>0</v>
      </c>
      <c r="D529" s="30">
        <v>0</v>
      </c>
      <c r="E529" s="30">
        <v>0</v>
      </c>
    </row>
    <row r="530" spans="1:15" x14ac:dyDescent="0.35">
      <c r="A530" s="119">
        <v>45998</v>
      </c>
      <c r="B530" s="30" t="s">
        <v>16</v>
      </c>
      <c r="C530" s="30">
        <v>10</v>
      </c>
      <c r="D530" s="30">
        <v>0</v>
      </c>
      <c r="E530" s="30">
        <v>0</v>
      </c>
    </row>
    <row r="531" spans="1:15" x14ac:dyDescent="0.35">
      <c r="A531" s="119">
        <v>45998</v>
      </c>
      <c r="B531" s="30" t="s">
        <v>17</v>
      </c>
      <c r="C531" s="30">
        <v>10</v>
      </c>
      <c r="D531" s="30">
        <v>0</v>
      </c>
      <c r="E531" s="30">
        <v>0</v>
      </c>
    </row>
    <row r="532" spans="1:15" x14ac:dyDescent="0.35">
      <c r="A532" s="119">
        <v>45998</v>
      </c>
      <c r="B532" s="30" t="s">
        <v>18</v>
      </c>
      <c r="C532" s="30">
        <v>10</v>
      </c>
      <c r="D532" s="30">
        <v>0</v>
      </c>
      <c r="E532" s="30">
        <v>0</v>
      </c>
    </row>
    <row r="533" spans="1:15" x14ac:dyDescent="0.35">
      <c r="A533" s="119">
        <v>45998</v>
      </c>
      <c r="B533" s="30" t="s">
        <v>20</v>
      </c>
      <c r="C533" s="30">
        <v>11.5</v>
      </c>
      <c r="D533" s="30">
        <v>0</v>
      </c>
      <c r="E533" s="30">
        <v>0</v>
      </c>
    </row>
    <row r="534" spans="1:15" x14ac:dyDescent="0.35">
      <c r="A534" s="119">
        <v>45998</v>
      </c>
      <c r="B534" s="30" t="s">
        <v>4</v>
      </c>
      <c r="C534" s="30">
        <v>2.3999999999996362</v>
      </c>
      <c r="D534" s="30">
        <v>8.6000000000003638</v>
      </c>
      <c r="E534" s="30">
        <v>0</v>
      </c>
      <c r="F534" s="30">
        <v>0</v>
      </c>
      <c r="O534" s="30" t="s">
        <v>214</v>
      </c>
    </row>
    <row r="535" spans="1:15" x14ac:dyDescent="0.35">
      <c r="A535" s="119">
        <v>45998</v>
      </c>
      <c r="B535" s="30" t="s">
        <v>2</v>
      </c>
      <c r="C535" s="30">
        <v>6</v>
      </c>
      <c r="D535" s="30">
        <v>4</v>
      </c>
      <c r="E535" s="30">
        <v>0</v>
      </c>
      <c r="F535" s="30">
        <v>0</v>
      </c>
      <c r="O535" s="30" t="s">
        <v>128</v>
      </c>
    </row>
    <row r="536" spans="1:15" x14ac:dyDescent="0.35">
      <c r="A536" s="119">
        <v>45998</v>
      </c>
      <c r="B536" s="30" t="s">
        <v>3</v>
      </c>
      <c r="C536" s="30">
        <v>7</v>
      </c>
      <c r="D536" s="30">
        <v>3</v>
      </c>
      <c r="E536" s="30">
        <v>0</v>
      </c>
      <c r="F536" s="30">
        <v>0</v>
      </c>
      <c r="O536" s="30" t="s">
        <v>122</v>
      </c>
    </row>
    <row r="537" spans="1:15" x14ac:dyDescent="0.35">
      <c r="A537" s="119">
        <v>45998</v>
      </c>
      <c r="B537" s="30" t="s">
        <v>82</v>
      </c>
      <c r="C537" s="30">
        <v>0</v>
      </c>
      <c r="D537" s="30">
        <v>0</v>
      </c>
      <c r="E537" s="30">
        <v>10</v>
      </c>
      <c r="F537" s="30">
        <v>0</v>
      </c>
      <c r="O537" s="30" t="s">
        <v>38</v>
      </c>
    </row>
    <row r="538" spans="1:15" x14ac:dyDescent="0.35">
      <c r="A538" s="119">
        <v>45998</v>
      </c>
      <c r="B538" s="30" t="s">
        <v>81</v>
      </c>
      <c r="C538" s="30">
        <v>0</v>
      </c>
      <c r="D538" s="30">
        <v>0</v>
      </c>
      <c r="E538" s="30">
        <v>10</v>
      </c>
      <c r="F538" s="30">
        <v>0</v>
      </c>
      <c r="O538" s="30" t="s">
        <v>38</v>
      </c>
    </row>
    <row r="539" spans="1:15" x14ac:dyDescent="0.35">
      <c r="A539" s="119">
        <v>45998</v>
      </c>
      <c r="B539" s="30" t="s">
        <v>8</v>
      </c>
      <c r="C539" s="30">
        <v>0</v>
      </c>
      <c r="D539" s="30">
        <v>0</v>
      </c>
      <c r="E539" s="30">
        <v>10</v>
      </c>
      <c r="F539" s="30">
        <v>0</v>
      </c>
      <c r="O539" s="30" t="s">
        <v>223</v>
      </c>
    </row>
    <row r="540" spans="1:15" x14ac:dyDescent="0.35">
      <c r="A540" s="119">
        <v>45998</v>
      </c>
      <c r="B540" s="30" t="s">
        <v>7</v>
      </c>
      <c r="C540" s="30">
        <v>3.5</v>
      </c>
      <c r="D540" s="30">
        <v>6.5</v>
      </c>
      <c r="E540" s="30">
        <v>0</v>
      </c>
      <c r="F540" s="30">
        <v>0</v>
      </c>
      <c r="O540" s="30" t="s">
        <v>131</v>
      </c>
    </row>
    <row r="541" spans="1:15" x14ac:dyDescent="0.35">
      <c r="A541" s="119">
        <v>45998</v>
      </c>
      <c r="B541" s="30" t="s">
        <v>9</v>
      </c>
      <c r="C541" s="30">
        <v>11</v>
      </c>
      <c r="D541" s="30" t="s">
        <v>212</v>
      </c>
      <c r="E541" s="30" t="s">
        <v>212</v>
      </c>
      <c r="F541" s="30" t="s">
        <v>212</v>
      </c>
    </row>
    <row r="542" spans="1:15" x14ac:dyDescent="0.35">
      <c r="A542" s="119">
        <v>45998</v>
      </c>
      <c r="B542" s="30" t="s">
        <v>10</v>
      </c>
      <c r="C542" s="30">
        <v>11</v>
      </c>
      <c r="D542" s="30" t="s">
        <v>212</v>
      </c>
      <c r="E542" s="30" t="s">
        <v>212</v>
      </c>
      <c r="F542" s="30" t="s">
        <v>212</v>
      </c>
    </row>
    <row r="543" spans="1:15" x14ac:dyDescent="0.35">
      <c r="A543" s="119">
        <v>45998</v>
      </c>
      <c r="B543" s="30" t="s">
        <v>11</v>
      </c>
      <c r="C543" s="30">
        <v>11</v>
      </c>
      <c r="D543" s="30" t="s">
        <v>212</v>
      </c>
      <c r="E543" s="30" t="s">
        <v>212</v>
      </c>
      <c r="F543" s="30" t="s">
        <v>212</v>
      </c>
    </row>
    <row r="544" spans="1:15" x14ac:dyDescent="0.35">
      <c r="A544" s="119">
        <v>45998</v>
      </c>
      <c r="B544" s="30" t="s">
        <v>21</v>
      </c>
      <c r="C544" s="30" t="s">
        <v>212</v>
      </c>
      <c r="D544" s="30" t="s">
        <v>212</v>
      </c>
      <c r="E544" s="30" t="s">
        <v>212</v>
      </c>
      <c r="F544" s="30">
        <v>1</v>
      </c>
    </row>
    <row r="545" spans="1:15" x14ac:dyDescent="0.35">
      <c r="A545" s="119">
        <v>45998</v>
      </c>
      <c r="B545" s="30" t="s">
        <v>22</v>
      </c>
      <c r="C545" s="30" t="s">
        <v>212</v>
      </c>
      <c r="D545" s="30" t="s">
        <v>212</v>
      </c>
      <c r="E545" s="30" t="s">
        <v>212</v>
      </c>
      <c r="F545" s="30">
        <v>1</v>
      </c>
    </row>
    <row r="546" spans="1:15" x14ac:dyDescent="0.35">
      <c r="A546" s="119">
        <v>45999</v>
      </c>
      <c r="B546" s="30" t="s">
        <v>13</v>
      </c>
      <c r="C546" s="30">
        <v>10</v>
      </c>
      <c r="D546" s="30">
        <v>0</v>
      </c>
      <c r="E546" s="30">
        <v>0</v>
      </c>
    </row>
    <row r="547" spans="1:15" x14ac:dyDescent="0.35">
      <c r="A547" s="119">
        <v>45999</v>
      </c>
      <c r="B547" s="30" t="s">
        <v>14</v>
      </c>
      <c r="C547" s="30">
        <v>10</v>
      </c>
      <c r="D547" s="30">
        <v>0</v>
      </c>
      <c r="E547" s="30">
        <v>0</v>
      </c>
    </row>
    <row r="548" spans="1:15" x14ac:dyDescent="0.35">
      <c r="A548" s="119">
        <v>45999</v>
      </c>
      <c r="B548" s="30" t="s">
        <v>15</v>
      </c>
      <c r="C548" s="30">
        <v>0</v>
      </c>
      <c r="D548" s="30">
        <v>0</v>
      </c>
      <c r="E548" s="30">
        <v>0</v>
      </c>
    </row>
    <row r="549" spans="1:15" x14ac:dyDescent="0.35">
      <c r="A549" s="119">
        <v>45999</v>
      </c>
      <c r="B549" s="30" t="s">
        <v>16</v>
      </c>
      <c r="C549" s="30">
        <v>10</v>
      </c>
      <c r="D549" s="30">
        <v>0</v>
      </c>
      <c r="E549" s="30">
        <v>0</v>
      </c>
    </row>
    <row r="550" spans="1:15" x14ac:dyDescent="0.35">
      <c r="A550" s="119">
        <v>45999</v>
      </c>
      <c r="B550" s="30" t="s">
        <v>17</v>
      </c>
      <c r="C550" s="30">
        <v>10</v>
      </c>
      <c r="D550" s="30">
        <v>0</v>
      </c>
      <c r="E550" s="30">
        <v>0</v>
      </c>
    </row>
    <row r="551" spans="1:15" x14ac:dyDescent="0.35">
      <c r="A551" s="119">
        <v>45999</v>
      </c>
      <c r="B551" s="30" t="s">
        <v>18</v>
      </c>
      <c r="C551" s="30">
        <v>10</v>
      </c>
      <c r="D551" s="30">
        <v>0</v>
      </c>
      <c r="E551" s="30">
        <v>0</v>
      </c>
    </row>
    <row r="552" spans="1:15" x14ac:dyDescent="0.35">
      <c r="A552" s="119">
        <v>45999</v>
      </c>
      <c r="B552" s="30" t="s">
        <v>20</v>
      </c>
      <c r="C552" s="30">
        <v>11.5</v>
      </c>
      <c r="D552" s="30">
        <v>0</v>
      </c>
      <c r="E552" s="30">
        <v>0</v>
      </c>
    </row>
    <row r="553" spans="1:15" x14ac:dyDescent="0.35">
      <c r="A553" s="119">
        <v>45999</v>
      </c>
      <c r="B553" s="30" t="s">
        <v>4</v>
      </c>
      <c r="C553" s="30">
        <v>3</v>
      </c>
      <c r="D553" s="30">
        <v>7</v>
      </c>
      <c r="E553" s="30">
        <v>0</v>
      </c>
      <c r="F553" s="30">
        <v>0</v>
      </c>
      <c r="O553" s="30" t="s">
        <v>229</v>
      </c>
    </row>
    <row r="554" spans="1:15" x14ac:dyDescent="0.35">
      <c r="A554" s="119">
        <v>45999</v>
      </c>
      <c r="B554" s="30" t="s">
        <v>2</v>
      </c>
      <c r="C554" s="30">
        <v>4</v>
      </c>
      <c r="D554" s="30">
        <v>6</v>
      </c>
      <c r="E554" s="30">
        <v>0</v>
      </c>
      <c r="F554" s="30">
        <v>0</v>
      </c>
      <c r="O554" s="30" t="s">
        <v>128</v>
      </c>
    </row>
    <row r="555" spans="1:15" x14ac:dyDescent="0.35">
      <c r="A555" s="119">
        <v>45999</v>
      </c>
      <c r="B555" s="30" t="s">
        <v>3</v>
      </c>
      <c r="C555" s="30">
        <v>5</v>
      </c>
      <c r="D555" s="30">
        <v>5</v>
      </c>
      <c r="E555" s="30">
        <v>0</v>
      </c>
      <c r="F555" s="30">
        <v>0</v>
      </c>
      <c r="O555" s="30" t="s">
        <v>230</v>
      </c>
    </row>
    <row r="556" spans="1:15" x14ac:dyDescent="0.35">
      <c r="A556" s="119">
        <v>45999</v>
      </c>
      <c r="B556" s="30" t="s">
        <v>82</v>
      </c>
      <c r="C556" s="30">
        <v>0</v>
      </c>
      <c r="D556" s="30">
        <v>0</v>
      </c>
      <c r="E556" s="30">
        <v>10</v>
      </c>
      <c r="F556" s="30">
        <v>0</v>
      </c>
      <c r="O556" s="30" t="s">
        <v>38</v>
      </c>
    </row>
    <row r="557" spans="1:15" x14ac:dyDescent="0.35">
      <c r="A557" s="119">
        <v>45999</v>
      </c>
      <c r="B557" s="30" t="s">
        <v>81</v>
      </c>
      <c r="C557" s="30">
        <v>0</v>
      </c>
      <c r="D557" s="30">
        <v>0</v>
      </c>
      <c r="E557" s="30">
        <v>10</v>
      </c>
      <c r="F557" s="30">
        <v>0</v>
      </c>
      <c r="O557" s="30" t="s">
        <v>38</v>
      </c>
    </row>
    <row r="558" spans="1:15" x14ac:dyDescent="0.35">
      <c r="A558" s="119">
        <v>45999</v>
      </c>
      <c r="B558" s="30" t="s">
        <v>8</v>
      </c>
      <c r="C558" s="30">
        <v>0</v>
      </c>
      <c r="D558" s="30">
        <v>0</v>
      </c>
      <c r="E558" s="30">
        <v>10</v>
      </c>
      <c r="F558" s="30">
        <v>0</v>
      </c>
      <c r="O558" s="30" t="s">
        <v>223</v>
      </c>
    </row>
    <row r="559" spans="1:15" x14ac:dyDescent="0.35">
      <c r="A559" s="119">
        <v>45999</v>
      </c>
      <c r="B559" s="30" t="s">
        <v>7</v>
      </c>
      <c r="C559" s="30">
        <v>0</v>
      </c>
      <c r="D559" s="30">
        <v>10</v>
      </c>
      <c r="E559" s="30">
        <v>0</v>
      </c>
      <c r="F559" s="30">
        <v>0</v>
      </c>
      <c r="O559" s="30" t="s">
        <v>231</v>
      </c>
    </row>
    <row r="560" spans="1:15" x14ac:dyDescent="0.35">
      <c r="A560" s="119">
        <v>45999</v>
      </c>
      <c r="B560" s="30" t="s">
        <v>9</v>
      </c>
      <c r="C560" s="30">
        <v>11</v>
      </c>
      <c r="D560" s="30" t="s">
        <v>212</v>
      </c>
      <c r="E560" s="30" t="s">
        <v>212</v>
      </c>
      <c r="F560" s="30" t="s">
        <v>212</v>
      </c>
    </row>
    <row r="561" spans="1:15" x14ac:dyDescent="0.35">
      <c r="A561" s="119">
        <v>45999</v>
      </c>
      <c r="B561" s="30" t="s">
        <v>10</v>
      </c>
      <c r="C561" s="30">
        <v>11</v>
      </c>
      <c r="D561" s="30" t="s">
        <v>212</v>
      </c>
      <c r="E561" s="30" t="s">
        <v>212</v>
      </c>
      <c r="F561" s="30" t="s">
        <v>212</v>
      </c>
    </row>
    <row r="562" spans="1:15" x14ac:dyDescent="0.35">
      <c r="A562" s="119">
        <v>45999</v>
      </c>
      <c r="B562" s="30" t="s">
        <v>11</v>
      </c>
      <c r="C562" s="30">
        <v>11</v>
      </c>
      <c r="D562" s="30" t="s">
        <v>212</v>
      </c>
      <c r="E562" s="30" t="s">
        <v>212</v>
      </c>
      <c r="F562" s="30" t="s">
        <v>212</v>
      </c>
    </row>
    <row r="563" spans="1:15" x14ac:dyDescent="0.35">
      <c r="A563" s="119">
        <v>45999</v>
      </c>
      <c r="B563" s="30" t="s">
        <v>21</v>
      </c>
      <c r="C563" s="30" t="s">
        <v>212</v>
      </c>
      <c r="D563" s="30" t="s">
        <v>212</v>
      </c>
      <c r="E563" s="30" t="s">
        <v>212</v>
      </c>
      <c r="F563" s="30">
        <v>1</v>
      </c>
    </row>
    <row r="564" spans="1:15" x14ac:dyDescent="0.35">
      <c r="A564" s="119">
        <v>45999</v>
      </c>
      <c r="B564" s="30" t="s">
        <v>22</v>
      </c>
      <c r="C564" s="30" t="s">
        <v>212</v>
      </c>
      <c r="D564" s="30" t="s">
        <v>212</v>
      </c>
      <c r="E564" s="30" t="s">
        <v>212</v>
      </c>
      <c r="F564" s="30">
        <v>1</v>
      </c>
    </row>
    <row r="565" spans="1:15" x14ac:dyDescent="0.35">
      <c r="A565" s="119">
        <v>46000</v>
      </c>
      <c r="B565" s="30" t="s">
        <v>13</v>
      </c>
      <c r="C565" s="30">
        <v>10</v>
      </c>
      <c r="D565" s="30">
        <v>0</v>
      </c>
      <c r="E565" s="30">
        <v>0</v>
      </c>
    </row>
    <row r="566" spans="1:15" x14ac:dyDescent="0.35">
      <c r="A566" s="119">
        <v>46000</v>
      </c>
      <c r="B566" s="30" t="s">
        <v>14</v>
      </c>
      <c r="C566" s="30">
        <v>10</v>
      </c>
      <c r="D566" s="30">
        <v>0</v>
      </c>
      <c r="E566" s="30">
        <v>0</v>
      </c>
    </row>
    <row r="567" spans="1:15" x14ac:dyDescent="0.35">
      <c r="A567" s="119">
        <v>46000</v>
      </c>
      <c r="B567" s="30" t="s">
        <v>15</v>
      </c>
      <c r="C567" s="30">
        <v>0</v>
      </c>
      <c r="D567" s="30">
        <v>0</v>
      </c>
      <c r="E567" s="30">
        <v>0</v>
      </c>
    </row>
    <row r="568" spans="1:15" x14ac:dyDescent="0.35">
      <c r="A568" s="119">
        <v>46000</v>
      </c>
      <c r="B568" s="30" t="s">
        <v>16</v>
      </c>
      <c r="C568" s="30">
        <v>10</v>
      </c>
      <c r="D568" s="30">
        <v>0</v>
      </c>
      <c r="E568" s="30">
        <v>0</v>
      </c>
    </row>
    <row r="569" spans="1:15" x14ac:dyDescent="0.35">
      <c r="A569" s="119">
        <v>46000</v>
      </c>
      <c r="B569" s="30" t="s">
        <v>17</v>
      </c>
      <c r="C569" s="30">
        <v>10</v>
      </c>
      <c r="D569" s="30">
        <v>0</v>
      </c>
      <c r="E569" s="30">
        <v>0</v>
      </c>
    </row>
    <row r="570" spans="1:15" x14ac:dyDescent="0.35">
      <c r="A570" s="119">
        <v>46000</v>
      </c>
      <c r="B570" s="30" t="s">
        <v>18</v>
      </c>
      <c r="C570" s="30">
        <v>10</v>
      </c>
      <c r="D570" s="30">
        <v>0</v>
      </c>
      <c r="E570" s="30">
        <v>0</v>
      </c>
    </row>
    <row r="571" spans="1:15" x14ac:dyDescent="0.35">
      <c r="A571" s="119">
        <v>46000</v>
      </c>
      <c r="B571" s="30" t="s">
        <v>20</v>
      </c>
      <c r="C571" s="30">
        <v>11.5</v>
      </c>
      <c r="D571" s="30">
        <v>0</v>
      </c>
      <c r="E571" s="30">
        <v>0</v>
      </c>
    </row>
    <row r="572" spans="1:15" x14ac:dyDescent="0.35">
      <c r="A572" s="119">
        <v>46000</v>
      </c>
      <c r="B572" s="30" t="s">
        <v>4</v>
      </c>
      <c r="C572" s="30">
        <v>3</v>
      </c>
      <c r="D572" s="30">
        <v>7</v>
      </c>
      <c r="E572" s="30">
        <v>0</v>
      </c>
      <c r="F572" s="30">
        <v>0</v>
      </c>
      <c r="O572" s="30" t="s">
        <v>229</v>
      </c>
    </row>
    <row r="573" spans="1:15" x14ac:dyDescent="0.35">
      <c r="A573" s="119">
        <v>46000</v>
      </c>
      <c r="B573" s="30" t="s">
        <v>2</v>
      </c>
      <c r="C573" s="30">
        <v>7</v>
      </c>
      <c r="D573" s="30">
        <v>3</v>
      </c>
      <c r="E573" s="30">
        <v>0</v>
      </c>
      <c r="F573" s="30">
        <v>0</v>
      </c>
      <c r="O573" s="30" t="s">
        <v>230</v>
      </c>
    </row>
    <row r="574" spans="1:15" x14ac:dyDescent="0.35">
      <c r="A574" s="119">
        <v>46000</v>
      </c>
      <c r="B574" s="30" t="s">
        <v>3</v>
      </c>
      <c r="C574" s="30">
        <v>7</v>
      </c>
      <c r="D574" s="30">
        <v>3</v>
      </c>
      <c r="E574" s="30">
        <v>0</v>
      </c>
      <c r="F574" s="30">
        <v>0</v>
      </c>
      <c r="O574" s="30" t="s">
        <v>230</v>
      </c>
    </row>
    <row r="575" spans="1:15" x14ac:dyDescent="0.35">
      <c r="A575" s="119">
        <v>46000</v>
      </c>
      <c r="B575" s="30" t="s">
        <v>82</v>
      </c>
      <c r="C575" s="30">
        <v>0</v>
      </c>
      <c r="D575" s="30">
        <v>0</v>
      </c>
      <c r="E575" s="30">
        <v>10</v>
      </c>
      <c r="F575" s="30">
        <v>0</v>
      </c>
      <c r="O575" s="30" t="s">
        <v>38</v>
      </c>
    </row>
    <row r="576" spans="1:15" x14ac:dyDescent="0.35">
      <c r="A576" s="119">
        <v>46000</v>
      </c>
      <c r="B576" s="30" t="s">
        <v>81</v>
      </c>
      <c r="C576" s="30">
        <v>0</v>
      </c>
      <c r="D576" s="30">
        <v>0</v>
      </c>
      <c r="E576" s="30">
        <v>10</v>
      </c>
      <c r="F576" s="30">
        <v>0</v>
      </c>
      <c r="O576" s="30" t="s">
        <v>38</v>
      </c>
    </row>
    <row r="577" spans="1:15" x14ac:dyDescent="0.35">
      <c r="A577" s="119">
        <v>46000</v>
      </c>
      <c r="B577" s="30" t="s">
        <v>8</v>
      </c>
      <c r="C577" s="30">
        <v>2</v>
      </c>
      <c r="D577" s="30">
        <v>8</v>
      </c>
      <c r="E577" s="30">
        <v>0</v>
      </c>
      <c r="F577" s="30">
        <v>0</v>
      </c>
      <c r="O577" s="30" t="s">
        <v>238</v>
      </c>
    </row>
    <row r="578" spans="1:15" x14ac:dyDescent="0.35">
      <c r="A578" s="119">
        <v>46000</v>
      </c>
      <c r="B578" s="30" t="s">
        <v>7</v>
      </c>
      <c r="C578" s="30">
        <v>0.4000000000005457</v>
      </c>
      <c r="D578" s="30">
        <v>9.6</v>
      </c>
      <c r="E578" s="30">
        <v>0</v>
      </c>
      <c r="F578" s="30">
        <v>0</v>
      </c>
      <c r="O578" s="30" t="s">
        <v>183</v>
      </c>
    </row>
    <row r="579" spans="1:15" x14ac:dyDescent="0.35">
      <c r="A579" s="119">
        <v>46000</v>
      </c>
      <c r="B579" s="30" t="s">
        <v>9</v>
      </c>
      <c r="C579" s="30">
        <v>11</v>
      </c>
      <c r="D579" s="30" t="s">
        <v>212</v>
      </c>
      <c r="E579" s="30" t="s">
        <v>212</v>
      </c>
      <c r="F579" s="30" t="s">
        <v>212</v>
      </c>
    </row>
    <row r="580" spans="1:15" x14ac:dyDescent="0.35">
      <c r="A580" s="119">
        <v>46000</v>
      </c>
      <c r="B580" s="30" t="s">
        <v>10</v>
      </c>
      <c r="C580" s="30">
        <v>11</v>
      </c>
      <c r="D580" s="30" t="s">
        <v>212</v>
      </c>
      <c r="E580" s="30" t="s">
        <v>212</v>
      </c>
      <c r="F580" s="30" t="s">
        <v>212</v>
      </c>
    </row>
    <row r="581" spans="1:15" x14ac:dyDescent="0.35">
      <c r="A581" s="119">
        <v>46000</v>
      </c>
      <c r="B581" s="30" t="s">
        <v>11</v>
      </c>
      <c r="C581" s="30" t="s">
        <v>212</v>
      </c>
      <c r="D581" s="30" t="s">
        <v>212</v>
      </c>
      <c r="E581" s="30" t="s">
        <v>212</v>
      </c>
      <c r="F581" s="30" t="s">
        <v>212</v>
      </c>
    </row>
    <row r="582" spans="1:15" x14ac:dyDescent="0.35">
      <c r="A582" s="119">
        <v>46000</v>
      </c>
      <c r="B582" s="30" t="s">
        <v>21</v>
      </c>
      <c r="C582" s="30" t="s">
        <v>212</v>
      </c>
      <c r="D582" s="30" t="s">
        <v>212</v>
      </c>
      <c r="E582" s="30" t="s">
        <v>212</v>
      </c>
      <c r="F582" s="30">
        <v>1</v>
      </c>
    </row>
    <row r="583" spans="1:15" x14ac:dyDescent="0.35">
      <c r="A583" s="119">
        <v>46000</v>
      </c>
      <c r="B583" s="30" t="s">
        <v>22</v>
      </c>
      <c r="C583" s="30" t="s">
        <v>212</v>
      </c>
      <c r="D583" s="30" t="s">
        <v>212</v>
      </c>
      <c r="E583" s="30" t="s">
        <v>212</v>
      </c>
      <c r="F583" s="30">
        <v>1</v>
      </c>
    </row>
    <row r="584" spans="1:15" x14ac:dyDescent="0.35">
      <c r="A584" s="119">
        <v>46001</v>
      </c>
      <c r="B584" s="30" t="s">
        <v>13</v>
      </c>
      <c r="C584" s="30">
        <v>11.5</v>
      </c>
      <c r="D584" s="30">
        <v>0</v>
      </c>
      <c r="E584" s="30">
        <v>0</v>
      </c>
    </row>
    <row r="585" spans="1:15" x14ac:dyDescent="0.35">
      <c r="A585" s="119">
        <v>46001</v>
      </c>
      <c r="B585" s="30" t="s">
        <v>14</v>
      </c>
      <c r="C585" s="30">
        <v>11.5</v>
      </c>
      <c r="D585" s="30">
        <v>0</v>
      </c>
      <c r="E585" s="30">
        <v>0</v>
      </c>
    </row>
    <row r="586" spans="1:15" x14ac:dyDescent="0.35">
      <c r="A586" s="119">
        <v>46001</v>
      </c>
      <c r="B586" s="30" t="s">
        <v>15</v>
      </c>
      <c r="C586" s="30">
        <v>11.5</v>
      </c>
      <c r="D586" s="30">
        <v>0</v>
      </c>
      <c r="E586" s="30">
        <v>0</v>
      </c>
    </row>
    <row r="587" spans="1:15" x14ac:dyDescent="0.35">
      <c r="A587" s="119">
        <v>46001</v>
      </c>
      <c r="B587" s="30" t="s">
        <v>16</v>
      </c>
      <c r="C587" s="30">
        <v>11.5</v>
      </c>
      <c r="D587" s="30">
        <v>0</v>
      </c>
      <c r="E587" s="30">
        <v>0</v>
      </c>
    </row>
    <row r="588" spans="1:15" x14ac:dyDescent="0.35">
      <c r="A588" s="119">
        <v>46001</v>
      </c>
      <c r="B588" s="30" t="s">
        <v>17</v>
      </c>
      <c r="C588" s="30">
        <v>11.5</v>
      </c>
      <c r="D588" s="30">
        <v>0</v>
      </c>
      <c r="E588" s="30">
        <v>0</v>
      </c>
    </row>
    <row r="589" spans="1:15" x14ac:dyDescent="0.35">
      <c r="A589" s="119">
        <v>46001</v>
      </c>
      <c r="B589" s="30" t="s">
        <v>18</v>
      </c>
      <c r="C589" s="30">
        <v>11.5</v>
      </c>
      <c r="D589" s="30">
        <v>0</v>
      </c>
      <c r="E589" s="30">
        <v>0</v>
      </c>
    </row>
    <row r="590" spans="1:15" x14ac:dyDescent="0.35">
      <c r="A590" s="119">
        <v>46001</v>
      </c>
      <c r="B590" s="30" t="s">
        <v>20</v>
      </c>
      <c r="C590" s="30">
        <v>11.5</v>
      </c>
      <c r="D590" s="30">
        <v>0</v>
      </c>
      <c r="E590" s="30">
        <v>0</v>
      </c>
    </row>
    <row r="591" spans="1:15" x14ac:dyDescent="0.35">
      <c r="A591" s="119">
        <v>46001</v>
      </c>
      <c r="B591" s="30" t="s">
        <v>4</v>
      </c>
      <c r="C591" s="30">
        <v>8.1000000000003638</v>
      </c>
      <c r="D591" s="30">
        <v>2.9</v>
      </c>
      <c r="E591" s="30">
        <v>0</v>
      </c>
      <c r="F591" s="30">
        <v>0</v>
      </c>
      <c r="O591" s="30" t="s">
        <v>250</v>
      </c>
    </row>
    <row r="592" spans="1:15" x14ac:dyDescent="0.35">
      <c r="A592" s="119">
        <v>46001</v>
      </c>
      <c r="B592" s="30" t="s">
        <v>2</v>
      </c>
      <c r="C592" s="30">
        <v>6</v>
      </c>
      <c r="D592" s="30">
        <v>5</v>
      </c>
      <c r="E592" s="30">
        <v>0</v>
      </c>
      <c r="F592" s="30">
        <v>0</v>
      </c>
      <c r="O592" s="30" t="s">
        <v>251</v>
      </c>
    </row>
    <row r="593" spans="1:15" x14ac:dyDescent="0.35">
      <c r="A593" s="119">
        <v>46001</v>
      </c>
      <c r="B593" s="30" t="s">
        <v>3</v>
      </c>
      <c r="C593" s="30">
        <v>8</v>
      </c>
      <c r="D593" s="30">
        <v>3</v>
      </c>
      <c r="E593" s="30">
        <v>0</v>
      </c>
      <c r="F593" s="30">
        <v>0</v>
      </c>
      <c r="O593" s="30" t="s">
        <v>252</v>
      </c>
    </row>
    <row r="594" spans="1:15" x14ac:dyDescent="0.35">
      <c r="A594" s="119">
        <v>46001</v>
      </c>
      <c r="B594" s="30" t="s">
        <v>373</v>
      </c>
      <c r="C594" s="30">
        <v>6</v>
      </c>
      <c r="D594" s="30">
        <v>5</v>
      </c>
      <c r="E594" s="30">
        <v>0</v>
      </c>
      <c r="F594" s="30">
        <v>0</v>
      </c>
      <c r="O594" s="30" t="s">
        <v>247</v>
      </c>
    </row>
    <row r="595" spans="1:15" x14ac:dyDescent="0.35">
      <c r="A595" s="119">
        <v>46001</v>
      </c>
      <c r="B595" s="30" t="s">
        <v>246</v>
      </c>
      <c r="C595" s="30">
        <v>5.2</v>
      </c>
      <c r="D595" s="30">
        <v>5.8</v>
      </c>
      <c r="E595" s="30">
        <v>0</v>
      </c>
      <c r="F595" s="30">
        <v>0</v>
      </c>
      <c r="O595" s="30" t="s">
        <v>247</v>
      </c>
    </row>
    <row r="596" spans="1:15" x14ac:dyDescent="0.35">
      <c r="A596" s="119">
        <v>46001</v>
      </c>
      <c r="B596" s="30" t="s">
        <v>8</v>
      </c>
      <c r="C596" s="30">
        <v>2</v>
      </c>
      <c r="D596" s="30">
        <v>9</v>
      </c>
      <c r="E596" s="30">
        <v>0</v>
      </c>
      <c r="F596" s="30">
        <v>0</v>
      </c>
      <c r="O596" s="30" t="s">
        <v>238</v>
      </c>
    </row>
    <row r="597" spans="1:15" x14ac:dyDescent="0.35">
      <c r="A597" s="119">
        <v>46001</v>
      </c>
      <c r="B597" s="30" t="s">
        <v>7</v>
      </c>
      <c r="C597" s="30">
        <v>0.3999999999996362</v>
      </c>
      <c r="D597" s="30">
        <v>10.6</v>
      </c>
      <c r="E597" s="30">
        <v>0</v>
      </c>
      <c r="F597" s="30">
        <v>0</v>
      </c>
      <c r="O597" s="30" t="s">
        <v>183</v>
      </c>
    </row>
    <row r="598" spans="1:15" x14ac:dyDescent="0.35">
      <c r="A598" s="119">
        <v>46001</v>
      </c>
      <c r="B598" s="30" t="s">
        <v>9</v>
      </c>
      <c r="C598" s="30">
        <v>11</v>
      </c>
      <c r="D598" s="30" t="s">
        <v>212</v>
      </c>
      <c r="E598" s="30" t="s">
        <v>212</v>
      </c>
      <c r="F598" s="30" t="s">
        <v>212</v>
      </c>
    </row>
    <row r="599" spans="1:15" x14ac:dyDescent="0.35">
      <c r="A599" s="119">
        <v>46001</v>
      </c>
      <c r="B599" s="30" t="s">
        <v>10</v>
      </c>
      <c r="C599" s="30">
        <v>11</v>
      </c>
      <c r="D599" s="30" t="s">
        <v>212</v>
      </c>
      <c r="E599" s="30" t="s">
        <v>212</v>
      </c>
      <c r="F599" s="30" t="s">
        <v>212</v>
      </c>
    </row>
    <row r="600" spans="1:15" x14ac:dyDescent="0.35">
      <c r="A600" s="119">
        <v>46001</v>
      </c>
      <c r="B600" s="30" t="s">
        <v>11</v>
      </c>
      <c r="C600" s="30" t="s">
        <v>212</v>
      </c>
      <c r="D600" s="30" t="s">
        <v>212</v>
      </c>
      <c r="E600" s="30" t="s">
        <v>212</v>
      </c>
      <c r="F600" s="30" t="s">
        <v>212</v>
      </c>
    </row>
    <row r="601" spans="1:15" x14ac:dyDescent="0.35">
      <c r="A601" s="119">
        <v>46001</v>
      </c>
      <c r="B601" s="30" t="s">
        <v>21</v>
      </c>
      <c r="C601" s="30" t="s">
        <v>212</v>
      </c>
      <c r="D601" s="30" t="s">
        <v>212</v>
      </c>
      <c r="E601" s="30" t="s">
        <v>212</v>
      </c>
      <c r="F601" s="30">
        <v>1</v>
      </c>
    </row>
    <row r="602" spans="1:15" x14ac:dyDescent="0.35">
      <c r="A602" s="119">
        <v>46001</v>
      </c>
      <c r="B602" s="30" t="s">
        <v>22</v>
      </c>
      <c r="C602" s="30" t="s">
        <v>212</v>
      </c>
      <c r="D602" s="30" t="s">
        <v>212</v>
      </c>
      <c r="E602" s="30" t="s">
        <v>212</v>
      </c>
      <c r="F602" s="30">
        <v>1</v>
      </c>
    </row>
    <row r="603" spans="1:15" x14ac:dyDescent="0.35">
      <c r="A603" s="119">
        <v>46002</v>
      </c>
      <c r="B603" s="30" t="s">
        <v>13</v>
      </c>
      <c r="C603" s="30">
        <v>11.5</v>
      </c>
      <c r="D603" s="30">
        <v>0</v>
      </c>
      <c r="E603" s="30">
        <v>0</v>
      </c>
    </row>
    <row r="604" spans="1:15" x14ac:dyDescent="0.35">
      <c r="A604" s="119">
        <v>46002</v>
      </c>
      <c r="B604" s="30" t="s">
        <v>14</v>
      </c>
      <c r="C604" s="30">
        <v>11.5</v>
      </c>
      <c r="D604" s="30">
        <v>0</v>
      </c>
      <c r="E604" s="30">
        <v>0</v>
      </c>
    </row>
    <row r="605" spans="1:15" x14ac:dyDescent="0.35">
      <c r="A605" s="119">
        <v>46002</v>
      </c>
      <c r="B605" s="30" t="s">
        <v>15</v>
      </c>
      <c r="C605" s="30">
        <v>11.5</v>
      </c>
      <c r="D605" s="30">
        <v>0</v>
      </c>
      <c r="E605" s="30">
        <v>0</v>
      </c>
    </row>
    <row r="606" spans="1:15" x14ac:dyDescent="0.35">
      <c r="A606" s="119">
        <v>46002</v>
      </c>
      <c r="B606" s="30" t="s">
        <v>16</v>
      </c>
      <c r="C606" s="30">
        <v>11.5</v>
      </c>
      <c r="D606" s="30">
        <v>0</v>
      </c>
      <c r="E606" s="30">
        <v>0</v>
      </c>
    </row>
    <row r="607" spans="1:15" x14ac:dyDescent="0.35">
      <c r="A607" s="119">
        <v>46002</v>
      </c>
      <c r="B607" s="30" t="s">
        <v>17</v>
      </c>
      <c r="C607" s="30">
        <v>11.5</v>
      </c>
      <c r="D607" s="30">
        <v>0</v>
      </c>
      <c r="E607" s="30">
        <v>0</v>
      </c>
    </row>
    <row r="608" spans="1:15" x14ac:dyDescent="0.35">
      <c r="A608" s="119">
        <v>46002</v>
      </c>
      <c r="B608" s="30" t="s">
        <v>18</v>
      </c>
      <c r="C608" s="30">
        <v>11.5</v>
      </c>
      <c r="D608" s="30">
        <v>0</v>
      </c>
      <c r="E608" s="30">
        <v>0</v>
      </c>
    </row>
    <row r="609" spans="1:15" x14ac:dyDescent="0.35">
      <c r="A609" s="119">
        <v>46002</v>
      </c>
      <c r="B609" s="30" t="s">
        <v>20</v>
      </c>
      <c r="C609" s="30">
        <v>11.5</v>
      </c>
      <c r="D609" s="30">
        <v>0</v>
      </c>
      <c r="E609" s="30">
        <v>0</v>
      </c>
    </row>
    <row r="610" spans="1:15" x14ac:dyDescent="0.35">
      <c r="A610" s="119">
        <v>46002</v>
      </c>
      <c r="B610" s="30" t="s">
        <v>4</v>
      </c>
      <c r="C610" s="30">
        <v>0</v>
      </c>
      <c r="D610" s="30">
        <v>0</v>
      </c>
      <c r="E610" s="30">
        <v>11</v>
      </c>
      <c r="F610" s="30">
        <v>0</v>
      </c>
      <c r="O610" s="30" t="s">
        <v>255</v>
      </c>
    </row>
    <row r="611" spans="1:15" x14ac:dyDescent="0.35">
      <c r="A611" s="119">
        <v>46002</v>
      </c>
      <c r="B611" s="30" t="s">
        <v>2</v>
      </c>
      <c r="C611" s="30">
        <v>8</v>
      </c>
      <c r="D611" s="30">
        <v>3</v>
      </c>
      <c r="E611" s="30">
        <v>0</v>
      </c>
      <c r="F611" s="30">
        <v>0</v>
      </c>
      <c r="O611" s="30" t="s">
        <v>256</v>
      </c>
    </row>
    <row r="612" spans="1:15" x14ac:dyDescent="0.35">
      <c r="A612" s="119">
        <v>46002</v>
      </c>
      <c r="B612" s="30" t="s">
        <v>3</v>
      </c>
      <c r="C612" s="30">
        <v>8</v>
      </c>
      <c r="D612" s="30">
        <v>3</v>
      </c>
      <c r="E612" s="30">
        <v>0</v>
      </c>
      <c r="F612" s="30">
        <v>0</v>
      </c>
      <c r="O612" s="30" t="s">
        <v>257</v>
      </c>
    </row>
    <row r="613" spans="1:15" x14ac:dyDescent="0.35">
      <c r="A613" s="119">
        <v>46002</v>
      </c>
      <c r="B613" s="30" t="s">
        <v>373</v>
      </c>
      <c r="C613" s="30">
        <v>6</v>
      </c>
      <c r="D613" s="30">
        <v>5</v>
      </c>
      <c r="E613" s="30">
        <v>0</v>
      </c>
      <c r="F613" s="30">
        <v>0</v>
      </c>
      <c r="O613" s="30" t="s">
        <v>247</v>
      </c>
    </row>
    <row r="614" spans="1:15" x14ac:dyDescent="0.35">
      <c r="A614" s="119">
        <v>46002</v>
      </c>
      <c r="B614" s="30" t="s">
        <v>246</v>
      </c>
      <c r="C614" s="30">
        <v>7.3</v>
      </c>
      <c r="D614" s="30">
        <v>3.7</v>
      </c>
      <c r="E614" s="30">
        <v>0</v>
      </c>
      <c r="F614" s="30">
        <v>0</v>
      </c>
      <c r="O614" s="30" t="s">
        <v>247</v>
      </c>
    </row>
    <row r="615" spans="1:15" x14ac:dyDescent="0.35">
      <c r="A615" s="119">
        <v>46002</v>
      </c>
      <c r="B615" s="30" t="s">
        <v>8</v>
      </c>
      <c r="C615" s="30">
        <v>5</v>
      </c>
      <c r="D615" s="30">
        <v>6</v>
      </c>
      <c r="E615" s="30">
        <v>0</v>
      </c>
      <c r="F615" s="30">
        <v>0</v>
      </c>
      <c r="O615" s="30" t="s">
        <v>238</v>
      </c>
    </row>
    <row r="616" spans="1:15" x14ac:dyDescent="0.35">
      <c r="A616" s="119">
        <v>46002</v>
      </c>
      <c r="B616" s="30" t="s">
        <v>7</v>
      </c>
      <c r="C616" s="30">
        <v>0.5</v>
      </c>
      <c r="D616" s="30">
        <v>10.6</v>
      </c>
      <c r="E616" s="30">
        <v>0</v>
      </c>
      <c r="F616" s="30">
        <v>0</v>
      </c>
      <c r="O616" s="30" t="s">
        <v>183</v>
      </c>
    </row>
    <row r="617" spans="1:15" x14ac:dyDescent="0.35">
      <c r="A617" s="119">
        <v>46002</v>
      </c>
      <c r="B617" s="30" t="s">
        <v>9</v>
      </c>
      <c r="C617" s="30">
        <v>11</v>
      </c>
      <c r="D617" s="30" t="s">
        <v>212</v>
      </c>
      <c r="E617" s="30" t="s">
        <v>212</v>
      </c>
      <c r="F617" s="30" t="s">
        <v>212</v>
      </c>
    </row>
    <row r="618" spans="1:15" x14ac:dyDescent="0.35">
      <c r="A618" s="119">
        <v>46002</v>
      </c>
      <c r="B618" s="30" t="s">
        <v>10</v>
      </c>
      <c r="C618" s="30">
        <v>11</v>
      </c>
      <c r="D618" s="30" t="s">
        <v>212</v>
      </c>
      <c r="E618" s="30" t="s">
        <v>212</v>
      </c>
      <c r="F618" s="30" t="s">
        <v>212</v>
      </c>
    </row>
    <row r="619" spans="1:15" x14ac:dyDescent="0.35">
      <c r="A619" s="119">
        <v>46002</v>
      </c>
      <c r="B619" s="30" t="s">
        <v>11</v>
      </c>
      <c r="C619" s="30" t="s">
        <v>212</v>
      </c>
      <c r="D619" s="30" t="s">
        <v>212</v>
      </c>
      <c r="E619" s="30" t="s">
        <v>212</v>
      </c>
      <c r="F619" s="30" t="s">
        <v>212</v>
      </c>
    </row>
    <row r="620" spans="1:15" x14ac:dyDescent="0.35">
      <c r="A620" s="119">
        <v>46002</v>
      </c>
      <c r="B620" s="30" t="s">
        <v>21</v>
      </c>
      <c r="C620" s="30" t="s">
        <v>212</v>
      </c>
      <c r="D620" s="30" t="s">
        <v>212</v>
      </c>
      <c r="E620" s="30" t="s">
        <v>212</v>
      </c>
      <c r="F620" s="30">
        <v>1</v>
      </c>
    </row>
    <row r="621" spans="1:15" x14ac:dyDescent="0.35">
      <c r="A621" s="119">
        <v>46002</v>
      </c>
      <c r="B621" s="30" t="s">
        <v>22</v>
      </c>
      <c r="C621" s="30" t="s">
        <v>212</v>
      </c>
      <c r="D621" s="30" t="s">
        <v>212</v>
      </c>
      <c r="E621" s="30" t="s">
        <v>212</v>
      </c>
      <c r="F621" s="30">
        <v>1</v>
      </c>
    </row>
    <row r="622" spans="1:15" x14ac:dyDescent="0.35">
      <c r="A622" s="119">
        <v>46003</v>
      </c>
      <c r="B622" s="30" t="s">
        <v>13</v>
      </c>
      <c r="C622" s="30">
        <v>11.5</v>
      </c>
      <c r="D622" s="30">
        <v>0</v>
      </c>
      <c r="E622" s="30">
        <v>0</v>
      </c>
    </row>
    <row r="623" spans="1:15" x14ac:dyDescent="0.35">
      <c r="A623" s="119">
        <v>46003</v>
      </c>
      <c r="B623" s="30" t="s">
        <v>14</v>
      </c>
      <c r="C623" s="30">
        <v>11.5</v>
      </c>
      <c r="D623" s="30">
        <v>0</v>
      </c>
      <c r="E623" s="30">
        <v>0</v>
      </c>
    </row>
    <row r="624" spans="1:15" x14ac:dyDescent="0.35">
      <c r="A624" s="119">
        <v>46003</v>
      </c>
      <c r="B624" s="30" t="s">
        <v>15</v>
      </c>
      <c r="C624" s="30">
        <v>11.5</v>
      </c>
      <c r="D624" s="30">
        <v>0</v>
      </c>
      <c r="E624" s="30">
        <v>0</v>
      </c>
    </row>
    <row r="625" spans="1:15" x14ac:dyDescent="0.35">
      <c r="A625" s="119">
        <v>46003</v>
      </c>
      <c r="B625" s="30" t="s">
        <v>16</v>
      </c>
      <c r="C625" s="30">
        <v>11.5</v>
      </c>
      <c r="D625" s="30">
        <v>0</v>
      </c>
      <c r="E625" s="30">
        <v>0</v>
      </c>
    </row>
    <row r="626" spans="1:15" x14ac:dyDescent="0.35">
      <c r="A626" s="119">
        <v>46003</v>
      </c>
      <c r="B626" s="30" t="s">
        <v>17</v>
      </c>
      <c r="C626" s="30">
        <v>11.5</v>
      </c>
      <c r="D626" s="30">
        <v>0</v>
      </c>
      <c r="E626" s="30">
        <v>0</v>
      </c>
    </row>
    <row r="627" spans="1:15" x14ac:dyDescent="0.35">
      <c r="A627" s="119">
        <v>46003</v>
      </c>
      <c r="B627" s="30" t="s">
        <v>18</v>
      </c>
      <c r="C627" s="30">
        <v>11.5</v>
      </c>
      <c r="D627" s="30">
        <v>0</v>
      </c>
      <c r="E627" s="30">
        <v>0</v>
      </c>
    </row>
    <row r="628" spans="1:15" x14ac:dyDescent="0.35">
      <c r="A628" s="119">
        <v>46003</v>
      </c>
      <c r="B628" s="30" t="s">
        <v>20</v>
      </c>
      <c r="C628" s="30">
        <v>11.5</v>
      </c>
      <c r="D628" s="30">
        <v>0</v>
      </c>
      <c r="E628" s="30">
        <v>0</v>
      </c>
    </row>
    <row r="629" spans="1:15" x14ac:dyDescent="0.35">
      <c r="A629" s="119">
        <v>46003</v>
      </c>
      <c r="B629" s="30" t="s">
        <v>4</v>
      </c>
      <c r="C629" s="30">
        <v>0</v>
      </c>
      <c r="D629" s="30">
        <v>0</v>
      </c>
      <c r="E629" s="30">
        <v>11</v>
      </c>
      <c r="F629" s="30">
        <v>0</v>
      </c>
      <c r="O629" s="30" t="s">
        <v>255</v>
      </c>
    </row>
    <row r="630" spans="1:15" x14ac:dyDescent="0.35">
      <c r="A630" s="119">
        <v>46003</v>
      </c>
      <c r="B630" s="30" t="s">
        <v>2</v>
      </c>
      <c r="C630" s="30">
        <v>8</v>
      </c>
      <c r="D630" s="30">
        <v>3</v>
      </c>
      <c r="E630" s="30">
        <v>0</v>
      </c>
      <c r="F630" s="30">
        <v>0</v>
      </c>
      <c r="O630" s="30" t="s">
        <v>256</v>
      </c>
    </row>
    <row r="631" spans="1:15" x14ac:dyDescent="0.35">
      <c r="A631" s="119">
        <v>46003</v>
      </c>
      <c r="B631" s="30" t="s">
        <v>3</v>
      </c>
      <c r="C631" s="30">
        <v>8</v>
      </c>
      <c r="D631" s="30">
        <v>3</v>
      </c>
      <c r="E631" s="30">
        <v>0</v>
      </c>
      <c r="F631" s="30">
        <v>0</v>
      </c>
      <c r="O631" s="30" t="s">
        <v>261</v>
      </c>
    </row>
    <row r="632" spans="1:15" x14ac:dyDescent="0.35">
      <c r="A632" s="119">
        <v>46003</v>
      </c>
      <c r="B632" s="30" t="s">
        <v>373</v>
      </c>
      <c r="C632" s="30">
        <v>7</v>
      </c>
      <c r="D632" s="30">
        <v>4</v>
      </c>
      <c r="E632" s="30">
        <v>0</v>
      </c>
      <c r="F632" s="30">
        <v>0</v>
      </c>
      <c r="O632" s="30" t="s">
        <v>247</v>
      </c>
    </row>
    <row r="633" spans="1:15" x14ac:dyDescent="0.35">
      <c r="A633" s="119">
        <v>46003</v>
      </c>
      <c r="B633" s="30" t="s">
        <v>246</v>
      </c>
      <c r="C633" s="30">
        <v>8.3000000000000007</v>
      </c>
      <c r="D633" s="30">
        <v>3.7</v>
      </c>
      <c r="E633" s="30">
        <v>0</v>
      </c>
      <c r="F633" s="30">
        <v>0</v>
      </c>
      <c r="O633" s="30" t="s">
        <v>247</v>
      </c>
    </row>
    <row r="634" spans="1:15" x14ac:dyDescent="0.35">
      <c r="A634" s="119">
        <v>46003</v>
      </c>
      <c r="B634" s="30" t="s">
        <v>8</v>
      </c>
      <c r="C634" s="30">
        <v>8</v>
      </c>
      <c r="D634" s="30">
        <v>3</v>
      </c>
      <c r="E634" s="30">
        <v>0</v>
      </c>
      <c r="F634" s="30">
        <v>0</v>
      </c>
      <c r="O634" s="30" t="s">
        <v>238</v>
      </c>
    </row>
    <row r="635" spans="1:15" x14ac:dyDescent="0.35">
      <c r="A635" s="119">
        <v>46003</v>
      </c>
      <c r="B635" s="30" t="s">
        <v>7</v>
      </c>
      <c r="C635" s="30">
        <v>0</v>
      </c>
      <c r="D635" s="30">
        <v>11</v>
      </c>
      <c r="E635" s="30">
        <v>0</v>
      </c>
      <c r="F635" s="30">
        <v>0</v>
      </c>
      <c r="O635" s="30" t="s">
        <v>262</v>
      </c>
    </row>
    <row r="636" spans="1:15" x14ac:dyDescent="0.35">
      <c r="A636" s="119">
        <v>46003</v>
      </c>
      <c r="B636" s="30" t="s">
        <v>9</v>
      </c>
      <c r="C636" s="30">
        <v>11</v>
      </c>
      <c r="D636" s="30" t="s">
        <v>212</v>
      </c>
      <c r="E636" s="30" t="s">
        <v>212</v>
      </c>
      <c r="F636" s="30" t="s">
        <v>212</v>
      </c>
    </row>
    <row r="637" spans="1:15" x14ac:dyDescent="0.35">
      <c r="A637" s="119">
        <v>46003</v>
      </c>
      <c r="B637" s="30" t="s">
        <v>10</v>
      </c>
      <c r="C637" s="30">
        <v>11</v>
      </c>
      <c r="D637" s="30" t="s">
        <v>212</v>
      </c>
      <c r="E637" s="30" t="s">
        <v>212</v>
      </c>
      <c r="F637" s="30" t="s">
        <v>212</v>
      </c>
    </row>
    <row r="638" spans="1:15" x14ac:dyDescent="0.35">
      <c r="A638" s="119">
        <v>46003</v>
      </c>
      <c r="B638" s="30" t="s">
        <v>11</v>
      </c>
      <c r="C638" s="30" t="s">
        <v>212</v>
      </c>
      <c r="D638" s="30" t="s">
        <v>212</v>
      </c>
      <c r="E638" s="30" t="s">
        <v>212</v>
      </c>
      <c r="F638" s="30" t="s">
        <v>212</v>
      </c>
    </row>
    <row r="639" spans="1:15" x14ac:dyDescent="0.35">
      <c r="A639" s="119">
        <v>46003</v>
      </c>
      <c r="B639" s="30" t="s">
        <v>21</v>
      </c>
      <c r="C639" s="30" t="s">
        <v>212</v>
      </c>
      <c r="D639" s="30" t="s">
        <v>212</v>
      </c>
      <c r="E639" s="30" t="s">
        <v>212</v>
      </c>
      <c r="F639" s="30">
        <v>1</v>
      </c>
    </row>
    <row r="640" spans="1:15" x14ac:dyDescent="0.35">
      <c r="A640" s="119">
        <v>46003</v>
      </c>
      <c r="B640" s="30" t="s">
        <v>22</v>
      </c>
      <c r="C640" s="30" t="s">
        <v>212</v>
      </c>
      <c r="D640" s="30" t="s">
        <v>212</v>
      </c>
      <c r="E640" s="30" t="s">
        <v>212</v>
      </c>
      <c r="F640" s="30">
        <v>1</v>
      </c>
    </row>
    <row r="641" spans="1:15" x14ac:dyDescent="0.35">
      <c r="A641" s="119">
        <v>46004</v>
      </c>
      <c r="B641" s="30" t="s">
        <v>13</v>
      </c>
      <c r="C641" s="30">
        <v>0</v>
      </c>
      <c r="D641" s="30">
        <v>0</v>
      </c>
      <c r="E641" s="30">
        <v>0</v>
      </c>
    </row>
    <row r="642" spans="1:15" x14ac:dyDescent="0.35">
      <c r="A642" s="119">
        <v>46004</v>
      </c>
      <c r="B642" s="30" t="s">
        <v>14</v>
      </c>
      <c r="C642" s="30">
        <v>11.5</v>
      </c>
      <c r="D642" s="30">
        <v>0</v>
      </c>
      <c r="E642" s="30">
        <v>0</v>
      </c>
    </row>
    <row r="643" spans="1:15" x14ac:dyDescent="0.35">
      <c r="A643" s="119">
        <v>46004</v>
      </c>
      <c r="B643" s="30" t="s">
        <v>15</v>
      </c>
      <c r="C643" s="30">
        <v>11.5</v>
      </c>
      <c r="D643" s="30">
        <v>0</v>
      </c>
      <c r="E643" s="30">
        <v>0</v>
      </c>
    </row>
    <row r="644" spans="1:15" x14ac:dyDescent="0.35">
      <c r="A644" s="119">
        <v>46004</v>
      </c>
      <c r="B644" s="30" t="s">
        <v>16</v>
      </c>
      <c r="C644" s="30">
        <v>11.5</v>
      </c>
      <c r="D644" s="30">
        <v>0</v>
      </c>
      <c r="E644" s="30">
        <v>0</v>
      </c>
    </row>
    <row r="645" spans="1:15" x14ac:dyDescent="0.35">
      <c r="A645" s="119">
        <v>46004</v>
      </c>
      <c r="B645" s="30" t="s">
        <v>17</v>
      </c>
      <c r="C645" s="30">
        <v>11.5</v>
      </c>
      <c r="D645" s="30">
        <v>0</v>
      </c>
      <c r="E645" s="30">
        <v>0</v>
      </c>
    </row>
    <row r="646" spans="1:15" x14ac:dyDescent="0.35">
      <c r="A646" s="119">
        <v>46004</v>
      </c>
      <c r="B646" s="30" t="s">
        <v>18</v>
      </c>
      <c r="C646" s="30">
        <v>11.5</v>
      </c>
      <c r="D646" s="30">
        <v>0</v>
      </c>
      <c r="E646" s="30">
        <v>0</v>
      </c>
    </row>
    <row r="647" spans="1:15" x14ac:dyDescent="0.35">
      <c r="A647" s="119">
        <v>46004</v>
      </c>
      <c r="B647" s="30" t="s">
        <v>20</v>
      </c>
      <c r="C647" s="30">
        <v>11.5</v>
      </c>
      <c r="D647" s="30">
        <v>0</v>
      </c>
      <c r="E647" s="30">
        <v>0</v>
      </c>
    </row>
    <row r="648" spans="1:15" x14ac:dyDescent="0.35">
      <c r="A648" s="119">
        <v>46004</v>
      </c>
      <c r="B648" s="30" t="s">
        <v>4</v>
      </c>
      <c r="C648" s="30">
        <v>0</v>
      </c>
      <c r="D648" s="30">
        <v>0</v>
      </c>
      <c r="E648" s="30">
        <v>11</v>
      </c>
      <c r="F648" s="30">
        <v>0</v>
      </c>
      <c r="O648" s="30" t="s">
        <v>255</v>
      </c>
    </row>
    <row r="649" spans="1:15" x14ac:dyDescent="0.35">
      <c r="A649" s="119">
        <v>46004</v>
      </c>
      <c r="B649" s="30" t="s">
        <v>2</v>
      </c>
      <c r="C649" s="30">
        <v>8</v>
      </c>
      <c r="D649" s="30">
        <v>3</v>
      </c>
      <c r="E649" s="30">
        <v>0</v>
      </c>
      <c r="F649" s="30">
        <v>0</v>
      </c>
      <c r="O649" s="30" t="s">
        <v>167</v>
      </c>
    </row>
    <row r="650" spans="1:15" x14ac:dyDescent="0.35">
      <c r="A650" s="119">
        <v>46004</v>
      </c>
      <c r="B650" s="30" t="s">
        <v>3</v>
      </c>
      <c r="C650" s="30">
        <v>5</v>
      </c>
      <c r="D650" s="30">
        <v>6</v>
      </c>
      <c r="E650" s="30">
        <v>0</v>
      </c>
      <c r="F650" s="30">
        <v>0</v>
      </c>
      <c r="O650" s="30" t="s">
        <v>266</v>
      </c>
    </row>
    <row r="651" spans="1:15" x14ac:dyDescent="0.35">
      <c r="A651" s="119">
        <v>46004</v>
      </c>
      <c r="B651" s="30" t="s">
        <v>373</v>
      </c>
      <c r="C651" s="30">
        <v>0</v>
      </c>
      <c r="D651" s="30">
        <v>11</v>
      </c>
      <c r="E651" s="30">
        <v>0</v>
      </c>
      <c r="F651" s="30">
        <v>0</v>
      </c>
      <c r="O651" s="30" t="s">
        <v>267</v>
      </c>
    </row>
    <row r="652" spans="1:15" x14ac:dyDescent="0.35">
      <c r="A652" s="119">
        <v>46004</v>
      </c>
      <c r="B652" s="30" t="s">
        <v>246</v>
      </c>
      <c r="C652" s="30">
        <v>4</v>
      </c>
      <c r="D652" s="30">
        <v>7</v>
      </c>
      <c r="E652" s="30">
        <v>0</v>
      </c>
      <c r="F652" s="30">
        <v>0</v>
      </c>
      <c r="O652" s="30" t="s">
        <v>247</v>
      </c>
    </row>
    <row r="653" spans="1:15" x14ac:dyDescent="0.35">
      <c r="A653" s="119">
        <v>46004</v>
      </c>
      <c r="B653" s="30" t="s">
        <v>8</v>
      </c>
      <c r="C653" s="30">
        <v>8</v>
      </c>
      <c r="D653" s="30">
        <v>3</v>
      </c>
      <c r="E653" s="30">
        <v>0</v>
      </c>
      <c r="F653" s="30">
        <v>0</v>
      </c>
      <c r="O653" s="30" t="s">
        <v>238</v>
      </c>
    </row>
    <row r="654" spans="1:15" x14ac:dyDescent="0.35">
      <c r="A654" s="119">
        <v>46004</v>
      </c>
      <c r="B654" s="30" t="s">
        <v>7</v>
      </c>
      <c r="C654" s="30">
        <v>0</v>
      </c>
      <c r="D654" s="30">
        <v>11</v>
      </c>
      <c r="E654" s="30">
        <v>0</v>
      </c>
      <c r="F654" s="30">
        <v>0</v>
      </c>
      <c r="O654" s="30" t="s">
        <v>262</v>
      </c>
    </row>
    <row r="655" spans="1:15" x14ac:dyDescent="0.35">
      <c r="A655" s="119">
        <v>46004</v>
      </c>
      <c r="B655" s="30" t="s">
        <v>9</v>
      </c>
      <c r="C655" s="30">
        <v>11</v>
      </c>
      <c r="D655" s="30" t="s">
        <v>212</v>
      </c>
      <c r="E655" s="30" t="s">
        <v>212</v>
      </c>
      <c r="F655" s="30" t="s">
        <v>212</v>
      </c>
    </row>
    <row r="656" spans="1:15" x14ac:dyDescent="0.35">
      <c r="A656" s="119">
        <v>46004</v>
      </c>
      <c r="B656" s="30" t="s">
        <v>10</v>
      </c>
      <c r="C656" s="30">
        <v>11</v>
      </c>
      <c r="D656" s="30" t="s">
        <v>212</v>
      </c>
      <c r="E656" s="30" t="s">
        <v>212</v>
      </c>
      <c r="F656" s="30" t="s">
        <v>212</v>
      </c>
    </row>
    <row r="657" spans="1:15" x14ac:dyDescent="0.35">
      <c r="A657" s="119">
        <v>46004</v>
      </c>
      <c r="B657" s="30" t="s">
        <v>11</v>
      </c>
      <c r="C657" s="30" t="s">
        <v>212</v>
      </c>
      <c r="D657" s="30" t="s">
        <v>212</v>
      </c>
      <c r="E657" s="30" t="s">
        <v>212</v>
      </c>
      <c r="F657" s="30" t="s">
        <v>212</v>
      </c>
    </row>
    <row r="658" spans="1:15" x14ac:dyDescent="0.35">
      <c r="A658" s="119">
        <v>46004</v>
      </c>
      <c r="B658" s="30" t="s">
        <v>21</v>
      </c>
      <c r="C658" s="30" t="s">
        <v>212</v>
      </c>
      <c r="D658" s="30" t="s">
        <v>212</v>
      </c>
      <c r="E658" s="30" t="s">
        <v>212</v>
      </c>
      <c r="F658" s="30">
        <v>1</v>
      </c>
    </row>
    <row r="659" spans="1:15" x14ac:dyDescent="0.35">
      <c r="A659" s="119">
        <v>46004</v>
      </c>
      <c r="B659" s="30" t="s">
        <v>22</v>
      </c>
      <c r="C659" s="30" t="s">
        <v>212</v>
      </c>
      <c r="D659" s="30" t="s">
        <v>212</v>
      </c>
      <c r="E659" s="30" t="s">
        <v>212</v>
      </c>
      <c r="F659" s="30">
        <v>1</v>
      </c>
    </row>
    <row r="660" spans="1:15" x14ac:dyDescent="0.35">
      <c r="A660" s="119">
        <v>46005</v>
      </c>
      <c r="B660" s="30" t="s">
        <v>13</v>
      </c>
      <c r="C660" s="30">
        <v>10</v>
      </c>
      <c r="D660" s="30">
        <v>0</v>
      </c>
      <c r="E660" s="30">
        <v>0</v>
      </c>
    </row>
    <row r="661" spans="1:15" x14ac:dyDescent="0.35">
      <c r="A661" s="119">
        <v>46005</v>
      </c>
      <c r="B661" s="30" t="s">
        <v>14</v>
      </c>
      <c r="C661" s="30">
        <v>10</v>
      </c>
      <c r="D661" s="30">
        <v>0</v>
      </c>
      <c r="E661" s="30">
        <v>0</v>
      </c>
    </row>
    <row r="662" spans="1:15" x14ac:dyDescent="0.35">
      <c r="A662" s="119">
        <v>46005</v>
      </c>
      <c r="B662" s="30" t="s">
        <v>15</v>
      </c>
      <c r="C662" s="30">
        <v>10</v>
      </c>
      <c r="D662" s="30">
        <v>0</v>
      </c>
      <c r="E662" s="30">
        <v>0</v>
      </c>
    </row>
    <row r="663" spans="1:15" x14ac:dyDescent="0.35">
      <c r="A663" s="119">
        <v>46005</v>
      </c>
      <c r="B663" s="30" t="s">
        <v>16</v>
      </c>
      <c r="C663" s="30">
        <v>10</v>
      </c>
      <c r="D663" s="30">
        <v>0</v>
      </c>
      <c r="E663" s="30">
        <v>0</v>
      </c>
    </row>
    <row r="664" spans="1:15" x14ac:dyDescent="0.35">
      <c r="A664" s="119">
        <v>46005</v>
      </c>
      <c r="B664" s="30" t="s">
        <v>17</v>
      </c>
      <c r="C664" s="30">
        <v>10</v>
      </c>
      <c r="D664" s="30">
        <v>0</v>
      </c>
      <c r="E664" s="30">
        <v>0</v>
      </c>
    </row>
    <row r="665" spans="1:15" x14ac:dyDescent="0.35">
      <c r="A665" s="119">
        <v>46005</v>
      </c>
      <c r="B665" s="30" t="s">
        <v>18</v>
      </c>
      <c r="C665" s="30">
        <v>10</v>
      </c>
      <c r="D665" s="30">
        <v>0</v>
      </c>
      <c r="E665" s="30">
        <v>0</v>
      </c>
    </row>
    <row r="666" spans="1:15" x14ac:dyDescent="0.35">
      <c r="A666" s="119">
        <v>46005</v>
      </c>
      <c r="B666" s="30" t="s">
        <v>20</v>
      </c>
      <c r="C666" s="30">
        <v>10</v>
      </c>
      <c r="D666" s="30">
        <v>0</v>
      </c>
      <c r="E666" s="30">
        <v>0</v>
      </c>
    </row>
    <row r="667" spans="1:15" x14ac:dyDescent="0.35">
      <c r="A667" s="119">
        <v>46005</v>
      </c>
      <c r="B667" s="30" t="s">
        <v>4</v>
      </c>
      <c r="C667" s="30">
        <v>0</v>
      </c>
      <c r="D667" s="30">
        <v>0</v>
      </c>
      <c r="E667" s="30">
        <v>11</v>
      </c>
      <c r="F667" s="30">
        <v>0</v>
      </c>
      <c r="O667" s="30" t="s">
        <v>255</v>
      </c>
    </row>
    <row r="668" spans="1:15" x14ac:dyDescent="0.35">
      <c r="A668" s="119">
        <v>46005</v>
      </c>
      <c r="B668" s="30" t="s">
        <v>2</v>
      </c>
      <c r="C668" s="30">
        <v>0</v>
      </c>
      <c r="D668" s="30">
        <v>10</v>
      </c>
      <c r="E668" s="30">
        <v>0</v>
      </c>
      <c r="F668" s="30">
        <v>0</v>
      </c>
      <c r="O668" s="30" t="s">
        <v>273</v>
      </c>
    </row>
    <row r="669" spans="1:15" x14ac:dyDescent="0.35">
      <c r="A669" s="119">
        <v>46005</v>
      </c>
      <c r="B669" s="30" t="s">
        <v>3</v>
      </c>
      <c r="C669" s="30">
        <v>0</v>
      </c>
      <c r="D669" s="30">
        <v>10</v>
      </c>
      <c r="E669" s="30">
        <v>0</v>
      </c>
      <c r="F669" s="30">
        <v>0</v>
      </c>
      <c r="O669" s="30" t="s">
        <v>270</v>
      </c>
    </row>
    <row r="670" spans="1:15" x14ac:dyDescent="0.35">
      <c r="A670" s="119">
        <v>46005</v>
      </c>
      <c r="B670" s="30" t="s">
        <v>373</v>
      </c>
      <c r="C670" s="30">
        <v>0</v>
      </c>
      <c r="D670" s="30">
        <v>10</v>
      </c>
      <c r="E670" s="30">
        <v>0</v>
      </c>
      <c r="F670" s="30">
        <v>0</v>
      </c>
      <c r="O670" s="30" t="s">
        <v>270</v>
      </c>
    </row>
    <row r="671" spans="1:15" x14ac:dyDescent="0.35">
      <c r="A671" s="119">
        <v>46005</v>
      </c>
      <c r="B671" s="30" t="s">
        <v>246</v>
      </c>
      <c r="C671" s="30">
        <v>0</v>
      </c>
      <c r="D671" s="30">
        <v>10</v>
      </c>
      <c r="E671" s="30">
        <v>0</v>
      </c>
      <c r="F671" s="30">
        <v>0</v>
      </c>
      <c r="O671" s="30" t="s">
        <v>270</v>
      </c>
    </row>
    <row r="672" spans="1:15" x14ac:dyDescent="0.35">
      <c r="A672" s="119">
        <v>46005</v>
      </c>
      <c r="B672" s="30" t="s">
        <v>8</v>
      </c>
      <c r="C672" s="30">
        <v>0</v>
      </c>
      <c r="D672" s="30">
        <v>10</v>
      </c>
      <c r="E672" s="30">
        <v>0</v>
      </c>
      <c r="F672" s="30">
        <v>0</v>
      </c>
      <c r="O672" s="30" t="s">
        <v>270</v>
      </c>
    </row>
    <row r="673" spans="1:15" x14ac:dyDescent="0.35">
      <c r="A673" s="119">
        <v>46005</v>
      </c>
      <c r="B673" s="30" t="s">
        <v>7</v>
      </c>
      <c r="C673" s="30">
        <v>0</v>
      </c>
      <c r="D673" s="30">
        <v>10</v>
      </c>
      <c r="E673" s="30">
        <v>0</v>
      </c>
      <c r="F673" s="30">
        <v>0</v>
      </c>
      <c r="O673" s="30" t="s">
        <v>270</v>
      </c>
    </row>
    <row r="674" spans="1:15" x14ac:dyDescent="0.35">
      <c r="A674" s="119">
        <v>46005</v>
      </c>
      <c r="B674" s="30" t="s">
        <v>9</v>
      </c>
      <c r="C674" s="30">
        <v>11</v>
      </c>
      <c r="D674" s="30" t="s">
        <v>212</v>
      </c>
      <c r="E674" s="30" t="s">
        <v>212</v>
      </c>
      <c r="F674" s="30" t="s">
        <v>212</v>
      </c>
    </row>
    <row r="675" spans="1:15" x14ac:dyDescent="0.35">
      <c r="A675" s="119">
        <v>46005</v>
      </c>
      <c r="B675" s="30" t="s">
        <v>10</v>
      </c>
      <c r="C675" s="30">
        <v>11</v>
      </c>
      <c r="D675" s="30" t="s">
        <v>212</v>
      </c>
      <c r="E675" s="30" t="s">
        <v>212</v>
      </c>
      <c r="F675" s="30" t="s">
        <v>212</v>
      </c>
    </row>
    <row r="676" spans="1:15" x14ac:dyDescent="0.35">
      <c r="A676" s="119">
        <v>46005</v>
      </c>
      <c r="B676" s="30" t="s">
        <v>11</v>
      </c>
      <c r="C676" s="30" t="s">
        <v>212</v>
      </c>
      <c r="D676" s="30" t="s">
        <v>212</v>
      </c>
      <c r="E676" s="30" t="s">
        <v>212</v>
      </c>
      <c r="F676" s="30" t="s">
        <v>212</v>
      </c>
    </row>
    <row r="677" spans="1:15" x14ac:dyDescent="0.35">
      <c r="A677" s="119">
        <v>46005</v>
      </c>
      <c r="B677" s="30" t="s">
        <v>21</v>
      </c>
      <c r="C677" s="30" t="s">
        <v>212</v>
      </c>
      <c r="D677" s="30" t="s">
        <v>212</v>
      </c>
      <c r="E677" s="30" t="s">
        <v>212</v>
      </c>
      <c r="F677" s="30">
        <v>1</v>
      </c>
    </row>
    <row r="678" spans="1:15" x14ac:dyDescent="0.35">
      <c r="A678" s="119">
        <v>46005</v>
      </c>
      <c r="B678" s="30" t="s">
        <v>22</v>
      </c>
      <c r="C678" s="30" t="s">
        <v>212</v>
      </c>
      <c r="D678" s="30" t="s">
        <v>212</v>
      </c>
      <c r="E678" s="30" t="s">
        <v>212</v>
      </c>
      <c r="F678" s="30">
        <v>1</v>
      </c>
    </row>
    <row r="679" spans="1:15" x14ac:dyDescent="0.35">
      <c r="A679" s="119">
        <v>46027</v>
      </c>
      <c r="B679" s="30" t="s">
        <v>13</v>
      </c>
      <c r="C679" s="30">
        <v>10</v>
      </c>
      <c r="D679" s="30">
        <v>0</v>
      </c>
      <c r="E679" s="30">
        <v>0</v>
      </c>
    </row>
    <row r="680" spans="1:15" x14ac:dyDescent="0.35">
      <c r="A680" s="119">
        <v>46027</v>
      </c>
      <c r="B680" s="30" t="s">
        <v>14</v>
      </c>
      <c r="C680" s="30">
        <v>10</v>
      </c>
      <c r="D680" s="30">
        <v>0</v>
      </c>
      <c r="E680" s="30">
        <v>0</v>
      </c>
    </row>
    <row r="681" spans="1:15" x14ac:dyDescent="0.35">
      <c r="A681" s="119">
        <v>46027</v>
      </c>
      <c r="B681" s="30" t="s">
        <v>15</v>
      </c>
      <c r="C681" s="30">
        <v>10</v>
      </c>
      <c r="D681" s="30">
        <v>0</v>
      </c>
      <c r="E681" s="30">
        <v>0</v>
      </c>
    </row>
    <row r="682" spans="1:15" x14ac:dyDescent="0.35">
      <c r="A682" s="119">
        <v>46027</v>
      </c>
      <c r="B682" s="30" t="s">
        <v>16</v>
      </c>
      <c r="C682" s="30">
        <v>0</v>
      </c>
      <c r="D682" s="30">
        <v>0</v>
      </c>
      <c r="E682" s="30">
        <v>0</v>
      </c>
    </row>
    <row r="683" spans="1:15" x14ac:dyDescent="0.35">
      <c r="A683" s="119">
        <v>46027</v>
      </c>
      <c r="B683" s="30" t="s">
        <v>17</v>
      </c>
      <c r="C683" s="30">
        <v>10</v>
      </c>
      <c r="D683" s="30">
        <v>0</v>
      </c>
      <c r="E683" s="30">
        <v>0</v>
      </c>
    </row>
    <row r="684" spans="1:15" x14ac:dyDescent="0.35">
      <c r="A684" s="119">
        <v>46027</v>
      </c>
      <c r="B684" s="30" t="s">
        <v>18</v>
      </c>
      <c r="C684" s="30">
        <v>0</v>
      </c>
      <c r="D684" s="30">
        <v>0</v>
      </c>
      <c r="E684" s="30">
        <v>0</v>
      </c>
    </row>
    <row r="685" spans="1:15" x14ac:dyDescent="0.35">
      <c r="A685" s="119">
        <v>46027</v>
      </c>
      <c r="B685" s="30" t="s">
        <v>20</v>
      </c>
      <c r="C685" s="30">
        <v>10</v>
      </c>
      <c r="D685" s="30">
        <v>0</v>
      </c>
      <c r="E685" s="30">
        <v>0</v>
      </c>
    </row>
    <row r="686" spans="1:15" x14ac:dyDescent="0.35">
      <c r="A686" s="119">
        <v>46027</v>
      </c>
      <c r="B686" s="30" t="s">
        <v>4</v>
      </c>
      <c r="C686" s="30">
        <v>0</v>
      </c>
      <c r="D686" s="30">
        <v>0</v>
      </c>
      <c r="E686" s="30">
        <v>11</v>
      </c>
      <c r="F686" s="30">
        <v>0</v>
      </c>
      <c r="O686" s="30" t="s">
        <v>255</v>
      </c>
    </row>
    <row r="687" spans="1:15" x14ac:dyDescent="0.35">
      <c r="A687" s="119">
        <v>46027</v>
      </c>
      <c r="B687" s="30" t="s">
        <v>2</v>
      </c>
      <c r="C687" s="30">
        <v>0</v>
      </c>
      <c r="D687" s="30">
        <v>10</v>
      </c>
      <c r="E687" s="30">
        <v>0</v>
      </c>
      <c r="F687" s="30">
        <v>0</v>
      </c>
      <c r="O687" s="30" t="s">
        <v>281</v>
      </c>
    </row>
    <row r="688" spans="1:15" x14ac:dyDescent="0.35">
      <c r="A688" s="119">
        <v>46027</v>
      </c>
      <c r="B688" s="30" t="s">
        <v>3</v>
      </c>
      <c r="C688" s="30">
        <v>0</v>
      </c>
      <c r="D688" s="30">
        <v>0</v>
      </c>
      <c r="E688" s="30" t="s">
        <v>279</v>
      </c>
      <c r="F688" s="30">
        <v>0</v>
      </c>
      <c r="O688" s="30" t="s">
        <v>279</v>
      </c>
    </row>
    <row r="689" spans="1:15" x14ac:dyDescent="0.35">
      <c r="A689" s="119">
        <v>46027</v>
      </c>
      <c r="B689" s="30" t="s">
        <v>373</v>
      </c>
      <c r="C689" s="30">
        <v>0</v>
      </c>
      <c r="D689" s="30">
        <v>10</v>
      </c>
      <c r="E689" s="30">
        <v>0</v>
      </c>
      <c r="F689" s="30">
        <v>0</v>
      </c>
      <c r="O689" s="30" t="s">
        <v>281</v>
      </c>
    </row>
    <row r="690" spans="1:15" x14ac:dyDescent="0.35">
      <c r="A690" s="119">
        <v>46027</v>
      </c>
      <c r="B690" s="30" t="s">
        <v>246</v>
      </c>
      <c r="C690" s="30">
        <v>0</v>
      </c>
      <c r="D690" s="30">
        <v>0</v>
      </c>
      <c r="E690" s="30" t="s">
        <v>279</v>
      </c>
      <c r="F690" s="30">
        <v>0</v>
      </c>
      <c r="O690" s="30" t="s">
        <v>279</v>
      </c>
    </row>
    <row r="691" spans="1:15" x14ac:dyDescent="0.35">
      <c r="A691" s="119">
        <v>46027</v>
      </c>
      <c r="B691" s="30" t="s">
        <v>8</v>
      </c>
      <c r="C691" s="30">
        <v>0</v>
      </c>
      <c r="D691" s="30">
        <v>10</v>
      </c>
      <c r="E691" s="30">
        <v>0</v>
      </c>
      <c r="F691" s="30">
        <v>0</v>
      </c>
      <c r="O691" s="30" t="s">
        <v>281</v>
      </c>
    </row>
    <row r="692" spans="1:15" x14ac:dyDescent="0.35">
      <c r="A692" s="119">
        <v>46027</v>
      </c>
      <c r="B692" s="30" t="s">
        <v>7</v>
      </c>
      <c r="C692" s="30">
        <v>0</v>
      </c>
      <c r="D692" s="30">
        <v>10</v>
      </c>
      <c r="E692" s="30">
        <v>0</v>
      </c>
      <c r="F692" s="30">
        <v>0</v>
      </c>
      <c r="O692" s="30" t="s">
        <v>282</v>
      </c>
    </row>
    <row r="693" spans="1:15" x14ac:dyDescent="0.35">
      <c r="A693" s="119">
        <v>46027</v>
      </c>
      <c r="B693" s="30" t="s">
        <v>9</v>
      </c>
      <c r="C693" s="30">
        <v>11</v>
      </c>
      <c r="D693" s="30" t="s">
        <v>212</v>
      </c>
      <c r="E693" s="30" t="s">
        <v>212</v>
      </c>
      <c r="F693" s="30" t="s">
        <v>212</v>
      </c>
    </row>
    <row r="694" spans="1:15" x14ac:dyDescent="0.35">
      <c r="A694" s="119">
        <v>46027</v>
      </c>
      <c r="B694" s="30" t="s">
        <v>10</v>
      </c>
      <c r="C694" s="30">
        <v>11</v>
      </c>
      <c r="D694" s="30" t="s">
        <v>212</v>
      </c>
      <c r="E694" s="30" t="s">
        <v>212</v>
      </c>
      <c r="F694" s="30" t="s">
        <v>212</v>
      </c>
    </row>
    <row r="695" spans="1:15" x14ac:dyDescent="0.35">
      <c r="A695" s="119">
        <v>46027</v>
      </c>
      <c r="B695" s="30" t="s">
        <v>11</v>
      </c>
      <c r="C695" s="30" t="s">
        <v>212</v>
      </c>
      <c r="D695" s="30" t="s">
        <v>212</v>
      </c>
      <c r="E695" s="30" t="s">
        <v>212</v>
      </c>
      <c r="F695" s="30" t="s">
        <v>212</v>
      </c>
    </row>
    <row r="696" spans="1:15" x14ac:dyDescent="0.35">
      <c r="A696" s="119">
        <v>46027</v>
      </c>
      <c r="B696" s="30" t="s">
        <v>21</v>
      </c>
      <c r="C696" s="30" t="s">
        <v>212</v>
      </c>
      <c r="D696" s="30" t="s">
        <v>212</v>
      </c>
      <c r="E696" s="30" t="s">
        <v>212</v>
      </c>
      <c r="F696" s="30">
        <v>1</v>
      </c>
    </row>
    <row r="697" spans="1:15" x14ac:dyDescent="0.35">
      <c r="A697" s="119">
        <v>46027</v>
      </c>
      <c r="B697" s="30" t="s">
        <v>22</v>
      </c>
      <c r="C697" s="30" t="s">
        <v>212</v>
      </c>
      <c r="D697" s="30" t="s">
        <v>212</v>
      </c>
      <c r="E697" s="30" t="s">
        <v>212</v>
      </c>
      <c r="F697" s="30">
        <v>0</v>
      </c>
    </row>
    <row r="698" spans="1:15" x14ac:dyDescent="0.35">
      <c r="A698" s="119">
        <v>46029</v>
      </c>
      <c r="B698" s="30" t="s">
        <v>13</v>
      </c>
      <c r="C698" s="30">
        <v>11.5</v>
      </c>
      <c r="D698" s="30">
        <v>0</v>
      </c>
      <c r="E698" s="30">
        <v>0</v>
      </c>
    </row>
    <row r="699" spans="1:15" x14ac:dyDescent="0.35">
      <c r="A699" s="119">
        <v>46029</v>
      </c>
      <c r="B699" s="30" t="s">
        <v>14</v>
      </c>
      <c r="C699" s="30">
        <v>11.5</v>
      </c>
      <c r="D699" s="30">
        <v>0</v>
      </c>
      <c r="E699" s="30">
        <v>0</v>
      </c>
    </row>
    <row r="700" spans="1:15" x14ac:dyDescent="0.35">
      <c r="A700" s="119">
        <v>46029</v>
      </c>
      <c r="B700" s="30" t="s">
        <v>15</v>
      </c>
      <c r="C700" s="30">
        <v>11.5</v>
      </c>
      <c r="D700" s="30">
        <v>0</v>
      </c>
      <c r="E700" s="30">
        <v>0</v>
      </c>
    </row>
    <row r="701" spans="1:15" x14ac:dyDescent="0.35">
      <c r="A701" s="119">
        <v>46029</v>
      </c>
      <c r="B701" s="30" t="s">
        <v>16</v>
      </c>
      <c r="C701" s="30">
        <v>0</v>
      </c>
      <c r="D701" s="30">
        <v>0</v>
      </c>
      <c r="E701" s="30">
        <v>0</v>
      </c>
    </row>
    <row r="702" spans="1:15" x14ac:dyDescent="0.35">
      <c r="A702" s="119">
        <v>46029</v>
      </c>
      <c r="B702" s="30" t="s">
        <v>17</v>
      </c>
      <c r="C702" s="30">
        <v>11.5</v>
      </c>
      <c r="D702" s="30">
        <v>0</v>
      </c>
      <c r="E702" s="30">
        <v>0</v>
      </c>
    </row>
    <row r="703" spans="1:15" x14ac:dyDescent="0.35">
      <c r="A703" s="119">
        <v>46029</v>
      </c>
      <c r="B703" s="30" t="s">
        <v>18</v>
      </c>
      <c r="C703" s="30">
        <v>0</v>
      </c>
      <c r="D703" s="30">
        <v>0</v>
      </c>
      <c r="E703" s="30">
        <v>0</v>
      </c>
    </row>
    <row r="704" spans="1:15" x14ac:dyDescent="0.35">
      <c r="A704" s="119">
        <v>46029</v>
      </c>
      <c r="B704" s="30" t="s">
        <v>20</v>
      </c>
      <c r="C704" s="30">
        <v>11.5</v>
      </c>
      <c r="D704" s="30">
        <v>0</v>
      </c>
      <c r="E704" s="30">
        <v>0</v>
      </c>
    </row>
    <row r="705" spans="1:15" x14ac:dyDescent="0.35">
      <c r="A705" s="119">
        <v>46029</v>
      </c>
      <c r="B705" s="30" t="s">
        <v>4</v>
      </c>
      <c r="C705" s="30">
        <v>0</v>
      </c>
      <c r="D705" s="30">
        <v>0</v>
      </c>
      <c r="E705" s="30">
        <v>11</v>
      </c>
      <c r="F705" s="30">
        <v>0</v>
      </c>
      <c r="O705" s="30" t="s">
        <v>299</v>
      </c>
    </row>
    <row r="706" spans="1:15" x14ac:dyDescent="0.35">
      <c r="A706" s="119">
        <v>46029</v>
      </c>
      <c r="B706" s="30" t="s">
        <v>2</v>
      </c>
      <c r="C706" s="30">
        <v>6</v>
      </c>
      <c r="D706" s="30">
        <v>5</v>
      </c>
      <c r="E706" s="30">
        <v>0</v>
      </c>
      <c r="F706" s="30">
        <v>0</v>
      </c>
      <c r="O706" s="30" t="s">
        <v>294</v>
      </c>
    </row>
    <row r="707" spans="1:15" x14ac:dyDescent="0.35">
      <c r="A707" s="119">
        <v>46029</v>
      </c>
      <c r="B707" s="30" t="s">
        <v>3</v>
      </c>
      <c r="C707" s="30">
        <v>0</v>
      </c>
      <c r="D707" s="30">
        <v>0</v>
      </c>
      <c r="E707" s="30" t="s">
        <v>280</v>
      </c>
      <c r="F707" s="30">
        <v>0</v>
      </c>
      <c r="O707" s="30" t="s">
        <v>279</v>
      </c>
    </row>
    <row r="708" spans="1:15" x14ac:dyDescent="0.35">
      <c r="A708" s="119">
        <v>46029</v>
      </c>
      <c r="B708" s="30" t="s">
        <v>373</v>
      </c>
      <c r="C708" s="30">
        <v>0</v>
      </c>
      <c r="D708" s="30">
        <v>11</v>
      </c>
      <c r="E708" s="30">
        <v>0</v>
      </c>
      <c r="F708" s="30">
        <v>0</v>
      </c>
      <c r="O708" s="30" t="s">
        <v>154</v>
      </c>
    </row>
    <row r="709" spans="1:15" x14ac:dyDescent="0.35">
      <c r="A709" s="119">
        <v>46029</v>
      </c>
      <c r="B709" s="30" t="s">
        <v>246</v>
      </c>
      <c r="C709" s="30">
        <v>0</v>
      </c>
      <c r="D709" s="30">
        <v>0</v>
      </c>
      <c r="E709" s="30" t="s">
        <v>279</v>
      </c>
      <c r="F709" s="30">
        <v>0</v>
      </c>
      <c r="O709" s="30" t="s">
        <v>279</v>
      </c>
    </row>
    <row r="710" spans="1:15" x14ac:dyDescent="0.35">
      <c r="A710" s="119">
        <v>46029</v>
      </c>
      <c r="B710" s="30" t="s">
        <v>8</v>
      </c>
      <c r="C710" s="30">
        <v>0</v>
      </c>
      <c r="D710" s="30">
        <v>11</v>
      </c>
      <c r="E710" s="30">
        <v>0</v>
      </c>
      <c r="F710" s="30">
        <v>0</v>
      </c>
      <c r="O710" s="30" t="s">
        <v>154</v>
      </c>
    </row>
    <row r="711" spans="1:15" x14ac:dyDescent="0.35">
      <c r="A711" s="119">
        <v>46029</v>
      </c>
      <c r="B711" s="30" t="s">
        <v>7</v>
      </c>
      <c r="C711" s="30">
        <v>5.4</v>
      </c>
      <c r="D711" s="30">
        <v>5.6</v>
      </c>
      <c r="E711" s="30">
        <v>0</v>
      </c>
      <c r="F711" s="30">
        <v>0</v>
      </c>
      <c r="O711" s="30" t="s">
        <v>282</v>
      </c>
    </row>
    <row r="712" spans="1:15" x14ac:dyDescent="0.35">
      <c r="A712" s="119">
        <v>46029</v>
      </c>
      <c r="B712" s="30" t="s">
        <v>9</v>
      </c>
      <c r="C712" s="30">
        <v>11</v>
      </c>
      <c r="D712" s="30" t="s">
        <v>212</v>
      </c>
      <c r="E712" s="30" t="s">
        <v>212</v>
      </c>
      <c r="F712" s="30" t="s">
        <v>212</v>
      </c>
    </row>
    <row r="713" spans="1:15" x14ac:dyDescent="0.35">
      <c r="A713" s="119">
        <v>46029</v>
      </c>
      <c r="B713" s="30" t="s">
        <v>10</v>
      </c>
      <c r="C713" s="30">
        <v>11</v>
      </c>
      <c r="D713" s="30" t="s">
        <v>212</v>
      </c>
      <c r="E713" s="30" t="s">
        <v>212</v>
      </c>
      <c r="F713" s="30" t="s">
        <v>212</v>
      </c>
    </row>
    <row r="714" spans="1:15" x14ac:dyDescent="0.35">
      <c r="A714" s="119">
        <v>46029</v>
      </c>
      <c r="B714" s="30" t="s">
        <v>11</v>
      </c>
      <c r="C714" s="30" t="s">
        <v>212</v>
      </c>
      <c r="D714" s="30" t="s">
        <v>212</v>
      </c>
      <c r="E714" s="30" t="s">
        <v>212</v>
      </c>
      <c r="F714" s="30" t="s">
        <v>212</v>
      </c>
    </row>
    <row r="715" spans="1:15" x14ac:dyDescent="0.35">
      <c r="A715" s="119">
        <v>46029</v>
      </c>
      <c r="B715" s="30" t="s">
        <v>21</v>
      </c>
      <c r="C715" s="30" t="s">
        <v>212</v>
      </c>
      <c r="D715" s="30" t="s">
        <v>212</v>
      </c>
      <c r="E715" s="30" t="s">
        <v>212</v>
      </c>
      <c r="F715" s="30">
        <v>1</v>
      </c>
    </row>
    <row r="716" spans="1:15" x14ac:dyDescent="0.35">
      <c r="A716" s="119">
        <v>46029</v>
      </c>
      <c r="B716" s="30" t="s">
        <v>22</v>
      </c>
      <c r="C716" s="30" t="s">
        <v>212</v>
      </c>
      <c r="D716" s="30" t="s">
        <v>212</v>
      </c>
      <c r="E716" s="30" t="s">
        <v>212</v>
      </c>
      <c r="F716" s="30">
        <v>0</v>
      </c>
    </row>
    <row r="717" spans="1:15" x14ac:dyDescent="0.35">
      <c r="A717" s="119">
        <v>46030</v>
      </c>
      <c r="B717" s="30" t="s">
        <v>13</v>
      </c>
      <c r="C717" s="30">
        <v>11.5</v>
      </c>
      <c r="D717" s="30">
        <v>0</v>
      </c>
      <c r="E717" s="30">
        <v>0</v>
      </c>
    </row>
    <row r="718" spans="1:15" x14ac:dyDescent="0.35">
      <c r="A718" s="119">
        <v>46030</v>
      </c>
      <c r="B718" s="30" t="s">
        <v>14</v>
      </c>
      <c r="C718" s="30">
        <v>11.5</v>
      </c>
      <c r="D718" s="30">
        <v>0</v>
      </c>
      <c r="E718" s="30">
        <v>0</v>
      </c>
    </row>
    <row r="719" spans="1:15" x14ac:dyDescent="0.35">
      <c r="A719" s="119">
        <v>46030</v>
      </c>
      <c r="B719" s="30" t="s">
        <v>15</v>
      </c>
      <c r="C719" s="30">
        <v>11.5</v>
      </c>
      <c r="D719" s="30">
        <v>0</v>
      </c>
      <c r="E719" s="30">
        <v>0</v>
      </c>
    </row>
    <row r="720" spans="1:15" x14ac:dyDescent="0.35">
      <c r="A720" s="119">
        <v>46030</v>
      </c>
      <c r="B720" s="30" t="s">
        <v>16</v>
      </c>
      <c r="C720" s="30">
        <v>10</v>
      </c>
      <c r="D720" s="30">
        <v>0</v>
      </c>
      <c r="E720" s="30">
        <v>0</v>
      </c>
    </row>
    <row r="721" spans="1:15" x14ac:dyDescent="0.35">
      <c r="A721" s="119">
        <v>46030</v>
      </c>
      <c r="B721" s="30" t="s">
        <v>17</v>
      </c>
      <c r="C721" s="30">
        <v>11.5</v>
      </c>
      <c r="D721" s="30">
        <v>0</v>
      </c>
      <c r="E721" s="30">
        <v>0</v>
      </c>
    </row>
    <row r="722" spans="1:15" x14ac:dyDescent="0.35">
      <c r="A722" s="119">
        <v>46030</v>
      </c>
      <c r="B722" s="30" t="s">
        <v>18</v>
      </c>
      <c r="C722" s="30">
        <v>0</v>
      </c>
      <c r="D722" s="30">
        <v>0</v>
      </c>
      <c r="E722" s="30">
        <v>0</v>
      </c>
    </row>
    <row r="723" spans="1:15" x14ac:dyDescent="0.35">
      <c r="A723" s="119">
        <v>46030</v>
      </c>
      <c r="B723" s="30" t="s">
        <v>20</v>
      </c>
      <c r="C723" s="30">
        <v>11.5</v>
      </c>
      <c r="D723" s="30">
        <v>0</v>
      </c>
      <c r="E723" s="30">
        <v>0</v>
      </c>
    </row>
    <row r="724" spans="1:15" x14ac:dyDescent="0.35">
      <c r="A724" s="119">
        <v>46030</v>
      </c>
      <c r="B724" s="30" t="s">
        <v>4</v>
      </c>
      <c r="C724" s="30">
        <v>0</v>
      </c>
      <c r="D724" s="30">
        <v>0</v>
      </c>
      <c r="E724" s="30">
        <v>11</v>
      </c>
      <c r="F724" s="30">
        <v>0</v>
      </c>
      <c r="O724" s="30" t="s">
        <v>310</v>
      </c>
    </row>
    <row r="725" spans="1:15" x14ac:dyDescent="0.35">
      <c r="A725" s="119">
        <v>46030</v>
      </c>
      <c r="B725" s="30" t="s">
        <v>2</v>
      </c>
      <c r="C725" s="30">
        <v>5</v>
      </c>
      <c r="D725" s="30">
        <v>6</v>
      </c>
      <c r="E725" s="30">
        <v>0</v>
      </c>
      <c r="F725" s="30">
        <v>0</v>
      </c>
      <c r="O725" s="30" t="s">
        <v>311</v>
      </c>
    </row>
    <row r="726" spans="1:15" x14ac:dyDescent="0.35">
      <c r="A726" s="119">
        <v>46030</v>
      </c>
      <c r="B726" s="30" t="s">
        <v>3</v>
      </c>
      <c r="C726" s="30">
        <v>0</v>
      </c>
      <c r="D726" s="30">
        <v>0</v>
      </c>
      <c r="E726" s="30" t="s">
        <v>280</v>
      </c>
      <c r="F726" s="30">
        <v>0</v>
      </c>
      <c r="O726" s="30" t="s">
        <v>279</v>
      </c>
    </row>
    <row r="727" spans="1:15" x14ac:dyDescent="0.35">
      <c r="A727" s="119">
        <v>46030</v>
      </c>
      <c r="B727" s="30" t="s">
        <v>373</v>
      </c>
      <c r="C727" s="30">
        <v>3.5</v>
      </c>
      <c r="D727" s="30">
        <v>6.5</v>
      </c>
      <c r="E727" s="30">
        <v>0</v>
      </c>
      <c r="F727" s="30">
        <v>0</v>
      </c>
      <c r="O727" s="30" t="s">
        <v>311</v>
      </c>
    </row>
    <row r="728" spans="1:15" x14ac:dyDescent="0.35">
      <c r="A728" s="119">
        <v>46030</v>
      </c>
      <c r="B728" s="30" t="s">
        <v>246</v>
      </c>
      <c r="C728" s="30">
        <v>2.2999999999999998</v>
      </c>
      <c r="D728" s="30">
        <v>8.6999999999999993</v>
      </c>
      <c r="E728" s="30">
        <v>0</v>
      </c>
      <c r="F728" s="30">
        <v>0</v>
      </c>
      <c r="O728" s="30" t="s">
        <v>311</v>
      </c>
    </row>
    <row r="729" spans="1:15" x14ac:dyDescent="0.35">
      <c r="A729" s="119">
        <v>46030</v>
      </c>
      <c r="B729" s="30" t="s">
        <v>8</v>
      </c>
      <c r="C729" s="30">
        <v>5</v>
      </c>
      <c r="D729" s="30">
        <v>6</v>
      </c>
      <c r="E729" s="30">
        <v>0</v>
      </c>
      <c r="F729" s="30">
        <v>0</v>
      </c>
      <c r="O729" s="30" t="s">
        <v>307</v>
      </c>
    </row>
    <row r="730" spans="1:15" x14ac:dyDescent="0.35">
      <c r="A730" s="119">
        <v>46030</v>
      </c>
      <c r="B730" s="30" t="s">
        <v>7</v>
      </c>
      <c r="C730" s="30">
        <v>1</v>
      </c>
      <c r="D730" s="30">
        <v>10</v>
      </c>
      <c r="E730" s="30">
        <v>0</v>
      </c>
      <c r="F730" s="30">
        <v>0</v>
      </c>
      <c r="O730" s="30" t="s">
        <v>282</v>
      </c>
    </row>
    <row r="731" spans="1:15" x14ac:dyDescent="0.35">
      <c r="A731" s="119">
        <v>46030</v>
      </c>
      <c r="B731" s="30" t="s">
        <v>9</v>
      </c>
      <c r="C731" s="30">
        <v>11</v>
      </c>
      <c r="D731" s="30" t="s">
        <v>212</v>
      </c>
      <c r="E731" s="30" t="s">
        <v>212</v>
      </c>
      <c r="F731" s="30" t="s">
        <v>212</v>
      </c>
    </row>
    <row r="732" spans="1:15" x14ac:dyDescent="0.35">
      <c r="A732" s="119">
        <v>46030</v>
      </c>
      <c r="B732" s="30" t="s">
        <v>10</v>
      </c>
      <c r="C732" s="30">
        <v>11</v>
      </c>
      <c r="D732" s="30" t="s">
        <v>212</v>
      </c>
      <c r="E732" s="30" t="s">
        <v>212</v>
      </c>
      <c r="F732" s="30" t="s">
        <v>212</v>
      </c>
    </row>
    <row r="733" spans="1:15" x14ac:dyDescent="0.35">
      <c r="A733" s="119">
        <v>46030</v>
      </c>
      <c r="B733" s="30" t="s">
        <v>11</v>
      </c>
      <c r="C733" s="30" t="s">
        <v>212</v>
      </c>
      <c r="D733" s="30" t="s">
        <v>212</v>
      </c>
      <c r="E733" s="30" t="s">
        <v>212</v>
      </c>
      <c r="F733" s="30" t="s">
        <v>212</v>
      </c>
    </row>
    <row r="734" spans="1:15" x14ac:dyDescent="0.35">
      <c r="A734" s="119">
        <v>46030</v>
      </c>
      <c r="B734" s="30" t="s">
        <v>21</v>
      </c>
      <c r="C734" s="30" t="s">
        <v>212</v>
      </c>
      <c r="D734" s="30" t="s">
        <v>212</v>
      </c>
      <c r="E734" s="30" t="s">
        <v>212</v>
      </c>
      <c r="F734" s="30">
        <v>1</v>
      </c>
    </row>
    <row r="735" spans="1:15" x14ac:dyDescent="0.35">
      <c r="A735" s="119">
        <v>46030</v>
      </c>
      <c r="B735" s="30" t="s">
        <v>22</v>
      </c>
      <c r="C735" s="30" t="s">
        <v>212</v>
      </c>
      <c r="D735" s="30" t="s">
        <v>212</v>
      </c>
      <c r="E735" s="30" t="s">
        <v>212</v>
      </c>
      <c r="F735" s="30">
        <v>0</v>
      </c>
    </row>
    <row r="736" spans="1:15" x14ac:dyDescent="0.35">
      <c r="A736" s="119">
        <v>46031</v>
      </c>
      <c r="B736" s="30" t="s">
        <v>13</v>
      </c>
      <c r="C736" s="30">
        <v>10</v>
      </c>
      <c r="D736" s="30">
        <v>0</v>
      </c>
      <c r="E736" s="30">
        <v>0</v>
      </c>
    </row>
    <row r="737" spans="1:15" x14ac:dyDescent="0.35">
      <c r="A737" s="119">
        <v>46031</v>
      </c>
      <c r="B737" s="30" t="s">
        <v>14</v>
      </c>
      <c r="C737" s="30">
        <v>10</v>
      </c>
      <c r="D737" s="30">
        <v>0</v>
      </c>
      <c r="E737" s="30">
        <v>0</v>
      </c>
    </row>
    <row r="738" spans="1:15" x14ac:dyDescent="0.35">
      <c r="A738" s="119">
        <v>46031</v>
      </c>
      <c r="B738" s="30" t="s">
        <v>15</v>
      </c>
      <c r="C738" s="30">
        <v>10</v>
      </c>
      <c r="D738" s="30">
        <v>0</v>
      </c>
      <c r="E738" s="30">
        <v>0</v>
      </c>
    </row>
    <row r="739" spans="1:15" x14ac:dyDescent="0.35">
      <c r="A739" s="119">
        <v>46031</v>
      </c>
      <c r="B739" s="30" t="s">
        <v>16</v>
      </c>
      <c r="C739" s="30">
        <v>10</v>
      </c>
      <c r="D739" s="30">
        <v>0</v>
      </c>
      <c r="E739" s="30">
        <v>0</v>
      </c>
    </row>
    <row r="740" spans="1:15" x14ac:dyDescent="0.35">
      <c r="A740" s="119">
        <v>46031</v>
      </c>
      <c r="B740" s="30" t="s">
        <v>17</v>
      </c>
      <c r="C740" s="30">
        <v>10</v>
      </c>
      <c r="D740" s="30">
        <v>0</v>
      </c>
      <c r="E740" s="30">
        <v>0</v>
      </c>
    </row>
    <row r="741" spans="1:15" x14ac:dyDescent="0.35">
      <c r="A741" s="119">
        <v>46031</v>
      </c>
      <c r="B741" s="30" t="s">
        <v>18</v>
      </c>
      <c r="C741" s="30">
        <v>0</v>
      </c>
      <c r="D741" s="30">
        <v>0</v>
      </c>
      <c r="E741" s="30">
        <v>0</v>
      </c>
    </row>
    <row r="742" spans="1:15" x14ac:dyDescent="0.35">
      <c r="A742" s="119">
        <v>46031</v>
      </c>
      <c r="B742" s="30" t="s">
        <v>20</v>
      </c>
      <c r="C742" s="30">
        <v>11.5</v>
      </c>
      <c r="D742" s="30">
        <v>0</v>
      </c>
      <c r="E742" s="30">
        <v>0</v>
      </c>
    </row>
    <row r="743" spans="1:15" x14ac:dyDescent="0.35">
      <c r="A743" s="119">
        <v>46031</v>
      </c>
      <c r="B743" s="30" t="s">
        <v>4</v>
      </c>
      <c r="C743" s="30">
        <v>0</v>
      </c>
      <c r="D743" s="30">
        <v>0</v>
      </c>
      <c r="E743" s="30">
        <v>11</v>
      </c>
      <c r="F743" s="30">
        <v>0</v>
      </c>
      <c r="O743" s="30" t="s">
        <v>310</v>
      </c>
    </row>
    <row r="744" spans="1:15" x14ac:dyDescent="0.35">
      <c r="A744" s="119">
        <v>46031</v>
      </c>
      <c r="B744" s="30" t="s">
        <v>2</v>
      </c>
      <c r="C744" s="30">
        <v>0</v>
      </c>
      <c r="D744" s="30">
        <v>0</v>
      </c>
      <c r="E744" s="30" t="s">
        <v>280</v>
      </c>
      <c r="F744" s="30">
        <v>0</v>
      </c>
      <c r="O744" s="30" t="s">
        <v>279</v>
      </c>
    </row>
    <row r="745" spans="1:15" x14ac:dyDescent="0.35">
      <c r="A745" s="119">
        <v>46031</v>
      </c>
      <c r="B745" s="30" t="s">
        <v>3</v>
      </c>
      <c r="C745" s="30">
        <v>3</v>
      </c>
      <c r="D745" s="30">
        <v>7</v>
      </c>
      <c r="E745" s="30">
        <v>0</v>
      </c>
      <c r="F745" s="30">
        <v>0</v>
      </c>
      <c r="O745" s="30" t="s">
        <v>313</v>
      </c>
    </row>
    <row r="746" spans="1:15" x14ac:dyDescent="0.35">
      <c r="A746" s="119">
        <v>46031</v>
      </c>
      <c r="B746" s="30" t="s">
        <v>373</v>
      </c>
      <c r="C746" s="30">
        <v>5</v>
      </c>
      <c r="D746" s="30">
        <v>5</v>
      </c>
      <c r="E746" s="30">
        <v>0</v>
      </c>
      <c r="F746" s="30">
        <v>0</v>
      </c>
      <c r="O746" s="30" t="s">
        <v>314</v>
      </c>
    </row>
    <row r="747" spans="1:15" x14ac:dyDescent="0.35">
      <c r="A747" s="119">
        <v>46031</v>
      </c>
      <c r="B747" s="30" t="s">
        <v>246</v>
      </c>
      <c r="C747" s="30">
        <v>4.3</v>
      </c>
      <c r="D747" s="30">
        <v>5.7</v>
      </c>
      <c r="E747" s="30">
        <v>0</v>
      </c>
      <c r="F747" s="30">
        <v>0</v>
      </c>
      <c r="O747" s="30" t="s">
        <v>314</v>
      </c>
    </row>
    <row r="748" spans="1:15" x14ac:dyDescent="0.35">
      <c r="A748" s="119">
        <v>46031</v>
      </c>
      <c r="B748" s="30" t="s">
        <v>8</v>
      </c>
      <c r="C748" s="30">
        <v>0</v>
      </c>
      <c r="D748" s="30">
        <v>10</v>
      </c>
      <c r="E748" s="30">
        <v>0</v>
      </c>
      <c r="F748" s="30">
        <v>0</v>
      </c>
      <c r="O748" s="30" t="s">
        <v>315</v>
      </c>
    </row>
    <row r="749" spans="1:15" x14ac:dyDescent="0.35">
      <c r="A749" s="119">
        <v>46031</v>
      </c>
      <c r="B749" s="30" t="s">
        <v>7</v>
      </c>
      <c r="C749" s="30">
        <v>1.8</v>
      </c>
      <c r="D749" s="30">
        <v>8.1999999999999993</v>
      </c>
      <c r="E749" s="30">
        <v>0</v>
      </c>
      <c r="F749" s="30">
        <v>0</v>
      </c>
      <c r="O749" s="30" t="s">
        <v>282</v>
      </c>
    </row>
    <row r="750" spans="1:15" x14ac:dyDescent="0.35">
      <c r="A750" s="119">
        <v>46031</v>
      </c>
      <c r="B750" s="30" t="s">
        <v>9</v>
      </c>
      <c r="C750" s="30">
        <v>11</v>
      </c>
      <c r="D750" s="30" t="s">
        <v>212</v>
      </c>
      <c r="E750" s="30" t="s">
        <v>212</v>
      </c>
      <c r="F750" s="30" t="s">
        <v>212</v>
      </c>
    </row>
    <row r="751" spans="1:15" x14ac:dyDescent="0.35">
      <c r="A751" s="119">
        <v>46031</v>
      </c>
      <c r="B751" s="30" t="s">
        <v>10</v>
      </c>
      <c r="C751" s="30">
        <v>11</v>
      </c>
      <c r="D751" s="30" t="s">
        <v>212</v>
      </c>
      <c r="E751" s="30" t="s">
        <v>212</v>
      </c>
      <c r="F751" s="30" t="s">
        <v>212</v>
      </c>
    </row>
    <row r="752" spans="1:15" x14ac:dyDescent="0.35">
      <c r="A752" s="119">
        <v>46031</v>
      </c>
      <c r="B752" s="30" t="s">
        <v>11</v>
      </c>
      <c r="C752" s="30" t="s">
        <v>212</v>
      </c>
      <c r="D752" s="30" t="s">
        <v>212</v>
      </c>
      <c r="E752" s="30" t="s">
        <v>212</v>
      </c>
      <c r="F752" s="30" t="s">
        <v>212</v>
      </c>
    </row>
    <row r="753" spans="1:15" x14ac:dyDescent="0.35">
      <c r="A753" s="119">
        <v>46031</v>
      </c>
      <c r="B753" s="30" t="s">
        <v>21</v>
      </c>
      <c r="C753" s="30" t="s">
        <v>212</v>
      </c>
      <c r="D753" s="30" t="s">
        <v>212</v>
      </c>
      <c r="E753" s="30" t="s">
        <v>212</v>
      </c>
      <c r="F753" s="30">
        <v>1</v>
      </c>
    </row>
    <row r="754" spans="1:15" x14ac:dyDescent="0.35">
      <c r="A754" s="119">
        <v>46031</v>
      </c>
      <c r="B754" s="30" t="s">
        <v>22</v>
      </c>
      <c r="C754" s="30" t="s">
        <v>212</v>
      </c>
      <c r="D754" s="30" t="s">
        <v>212</v>
      </c>
      <c r="E754" s="30" t="s">
        <v>212</v>
      </c>
      <c r="F754" s="30">
        <v>0</v>
      </c>
    </row>
    <row r="755" spans="1:15" x14ac:dyDescent="0.35">
      <c r="A755" s="119">
        <v>46033</v>
      </c>
      <c r="B755" s="30" t="s">
        <v>13</v>
      </c>
      <c r="C755" s="30">
        <v>11.5</v>
      </c>
      <c r="D755" s="30">
        <v>0</v>
      </c>
      <c r="E755" s="30">
        <v>0</v>
      </c>
    </row>
    <row r="756" spans="1:15" x14ac:dyDescent="0.35">
      <c r="A756" s="119">
        <v>46033</v>
      </c>
      <c r="B756" s="30" t="s">
        <v>14</v>
      </c>
      <c r="C756" s="30">
        <v>11.5</v>
      </c>
      <c r="D756" s="30">
        <v>0</v>
      </c>
      <c r="E756" s="30">
        <v>0</v>
      </c>
    </row>
    <row r="757" spans="1:15" x14ac:dyDescent="0.35">
      <c r="A757" s="119">
        <v>46033</v>
      </c>
      <c r="B757" s="30" t="s">
        <v>15</v>
      </c>
      <c r="C757" s="30">
        <v>11.5</v>
      </c>
      <c r="D757" s="30">
        <v>0</v>
      </c>
      <c r="E757" s="30">
        <v>0</v>
      </c>
    </row>
    <row r="758" spans="1:15" x14ac:dyDescent="0.35">
      <c r="A758" s="119">
        <v>46033</v>
      </c>
      <c r="B758" s="30" t="s">
        <v>16</v>
      </c>
      <c r="C758" s="30">
        <v>11.5</v>
      </c>
      <c r="D758" s="30">
        <v>0</v>
      </c>
      <c r="E758" s="30">
        <v>0</v>
      </c>
    </row>
    <row r="759" spans="1:15" x14ac:dyDescent="0.35">
      <c r="A759" s="119">
        <v>46033</v>
      </c>
      <c r="B759" s="30" t="s">
        <v>17</v>
      </c>
      <c r="C759" s="30">
        <v>11.5</v>
      </c>
      <c r="D759" s="30">
        <v>0</v>
      </c>
      <c r="E759" s="30">
        <v>0</v>
      </c>
    </row>
    <row r="760" spans="1:15" x14ac:dyDescent="0.35">
      <c r="A760" s="119">
        <v>46033</v>
      </c>
      <c r="B760" s="30" t="s">
        <v>18</v>
      </c>
      <c r="C760" s="30">
        <v>0</v>
      </c>
      <c r="D760" s="30">
        <v>0</v>
      </c>
      <c r="E760" s="30">
        <v>0</v>
      </c>
    </row>
    <row r="761" spans="1:15" x14ac:dyDescent="0.35">
      <c r="A761" s="119">
        <v>46033</v>
      </c>
      <c r="B761" s="30" t="s">
        <v>20</v>
      </c>
      <c r="C761" s="30">
        <v>11.5</v>
      </c>
      <c r="D761" s="30">
        <v>0</v>
      </c>
      <c r="E761" s="30">
        <v>0</v>
      </c>
    </row>
    <row r="762" spans="1:15" x14ac:dyDescent="0.35">
      <c r="A762" s="119">
        <v>46033</v>
      </c>
      <c r="B762" s="30" t="s">
        <v>4</v>
      </c>
      <c r="C762" s="30">
        <v>5.3</v>
      </c>
      <c r="D762" s="30">
        <v>5.7</v>
      </c>
      <c r="E762" s="30">
        <v>0</v>
      </c>
      <c r="F762" s="30">
        <v>0</v>
      </c>
      <c r="O762" s="30" t="s">
        <v>321</v>
      </c>
    </row>
    <row r="763" spans="1:15" x14ac:dyDescent="0.35">
      <c r="A763" s="119">
        <v>46033</v>
      </c>
      <c r="B763" s="30" t="s">
        <v>2</v>
      </c>
      <c r="C763" s="30">
        <v>0</v>
      </c>
      <c r="D763" s="30">
        <v>0</v>
      </c>
      <c r="E763" s="30" t="s">
        <v>280</v>
      </c>
      <c r="F763" s="30">
        <v>0</v>
      </c>
      <c r="O763" s="30" t="s">
        <v>279</v>
      </c>
    </row>
    <row r="764" spans="1:15" x14ac:dyDescent="0.35">
      <c r="A764" s="119">
        <v>46033</v>
      </c>
      <c r="B764" s="30" t="s">
        <v>3</v>
      </c>
      <c r="C764" s="30">
        <v>7</v>
      </c>
      <c r="D764" s="30">
        <v>4</v>
      </c>
      <c r="E764" s="30">
        <v>0</v>
      </c>
      <c r="F764" s="30">
        <v>0</v>
      </c>
      <c r="O764" s="30" t="s">
        <v>313</v>
      </c>
    </row>
    <row r="765" spans="1:15" x14ac:dyDescent="0.35">
      <c r="A765" s="119">
        <v>46033</v>
      </c>
      <c r="B765" s="30" t="s">
        <v>373</v>
      </c>
      <c r="C765" s="30">
        <v>1</v>
      </c>
      <c r="D765" s="30">
        <v>9</v>
      </c>
      <c r="E765" s="30">
        <v>0</v>
      </c>
      <c r="F765" s="30">
        <v>0</v>
      </c>
      <c r="O765" s="30" t="s">
        <v>314</v>
      </c>
    </row>
    <row r="766" spans="1:15" x14ac:dyDescent="0.35">
      <c r="A766" s="119">
        <v>46033</v>
      </c>
      <c r="B766" s="30" t="s">
        <v>246</v>
      </c>
      <c r="C766" s="30">
        <v>2.5</v>
      </c>
      <c r="D766" s="30">
        <v>8.5</v>
      </c>
      <c r="E766" s="30">
        <v>0</v>
      </c>
      <c r="F766" s="30">
        <v>0</v>
      </c>
      <c r="O766" s="30" t="s">
        <v>314</v>
      </c>
    </row>
    <row r="767" spans="1:15" x14ac:dyDescent="0.35">
      <c r="A767" s="119">
        <v>46033</v>
      </c>
      <c r="B767" s="30" t="s">
        <v>8</v>
      </c>
      <c r="C767" s="30">
        <v>1</v>
      </c>
      <c r="D767" s="30">
        <v>9</v>
      </c>
      <c r="E767" s="30">
        <v>0</v>
      </c>
      <c r="F767" s="30">
        <v>0</v>
      </c>
      <c r="O767" s="30" t="s">
        <v>322</v>
      </c>
    </row>
    <row r="768" spans="1:15" x14ac:dyDescent="0.35">
      <c r="A768" s="119">
        <v>46033</v>
      </c>
      <c r="B768" s="30" t="s">
        <v>7</v>
      </c>
      <c r="C768" s="30">
        <v>4.8</v>
      </c>
      <c r="D768" s="30">
        <v>6.2</v>
      </c>
      <c r="E768" s="30">
        <v>0</v>
      </c>
      <c r="F768" s="30">
        <v>0</v>
      </c>
      <c r="O768" s="30" t="s">
        <v>282</v>
      </c>
    </row>
    <row r="769" spans="1:15" x14ac:dyDescent="0.35">
      <c r="A769" s="119">
        <v>46033</v>
      </c>
      <c r="B769" s="30" t="s">
        <v>9</v>
      </c>
      <c r="C769" s="30">
        <v>11</v>
      </c>
      <c r="D769" s="30" t="s">
        <v>212</v>
      </c>
      <c r="E769" s="30" t="s">
        <v>212</v>
      </c>
      <c r="F769" s="30" t="s">
        <v>212</v>
      </c>
    </row>
    <row r="770" spans="1:15" x14ac:dyDescent="0.35">
      <c r="A770" s="119">
        <v>46033</v>
      </c>
      <c r="B770" s="30" t="s">
        <v>10</v>
      </c>
      <c r="C770" s="30">
        <v>11</v>
      </c>
      <c r="D770" s="30" t="s">
        <v>212</v>
      </c>
      <c r="E770" s="30" t="s">
        <v>212</v>
      </c>
      <c r="F770" s="30" t="s">
        <v>212</v>
      </c>
    </row>
    <row r="771" spans="1:15" x14ac:dyDescent="0.35">
      <c r="A771" s="119">
        <v>46033</v>
      </c>
      <c r="B771" s="30" t="s">
        <v>11</v>
      </c>
      <c r="C771" s="30" t="s">
        <v>212</v>
      </c>
      <c r="D771" s="30" t="s">
        <v>212</v>
      </c>
      <c r="E771" s="30" t="s">
        <v>212</v>
      </c>
      <c r="F771" s="30" t="s">
        <v>212</v>
      </c>
    </row>
    <row r="772" spans="1:15" x14ac:dyDescent="0.35">
      <c r="A772" s="119">
        <v>46033</v>
      </c>
      <c r="B772" s="30" t="s">
        <v>21</v>
      </c>
      <c r="C772" s="30" t="s">
        <v>212</v>
      </c>
      <c r="D772" s="30" t="s">
        <v>212</v>
      </c>
      <c r="E772" s="30" t="s">
        <v>212</v>
      </c>
      <c r="F772" s="30">
        <v>1</v>
      </c>
    </row>
    <row r="773" spans="1:15" x14ac:dyDescent="0.35">
      <c r="A773" s="119">
        <v>46033</v>
      </c>
      <c r="B773" s="30" t="s">
        <v>22</v>
      </c>
      <c r="C773" s="30" t="s">
        <v>212</v>
      </c>
      <c r="D773" s="30" t="s">
        <v>212</v>
      </c>
      <c r="E773" s="30" t="s">
        <v>212</v>
      </c>
      <c r="F773" s="30">
        <v>0</v>
      </c>
    </row>
    <row r="774" spans="1:15" x14ac:dyDescent="0.35">
      <c r="A774" s="119">
        <v>46034</v>
      </c>
      <c r="B774" s="30" t="s">
        <v>13</v>
      </c>
      <c r="C774" s="30">
        <v>11.5</v>
      </c>
      <c r="D774" s="30">
        <v>0</v>
      </c>
      <c r="E774" s="30">
        <v>0</v>
      </c>
    </row>
    <row r="775" spans="1:15" x14ac:dyDescent="0.35">
      <c r="A775" s="119">
        <v>46034</v>
      </c>
      <c r="B775" s="30" t="s">
        <v>14</v>
      </c>
      <c r="C775" s="30">
        <v>11.5</v>
      </c>
      <c r="D775" s="30">
        <v>0</v>
      </c>
      <c r="E775" s="30">
        <v>0</v>
      </c>
    </row>
    <row r="776" spans="1:15" x14ac:dyDescent="0.35">
      <c r="A776" s="119">
        <v>46034</v>
      </c>
      <c r="B776" s="30" t="s">
        <v>15</v>
      </c>
      <c r="C776" s="30">
        <v>11.5</v>
      </c>
      <c r="D776" s="30">
        <v>0</v>
      </c>
      <c r="E776" s="30">
        <v>0</v>
      </c>
    </row>
    <row r="777" spans="1:15" x14ac:dyDescent="0.35">
      <c r="A777" s="119">
        <v>46034</v>
      </c>
      <c r="B777" s="30" t="s">
        <v>16</v>
      </c>
      <c r="C777" s="30">
        <v>11.5</v>
      </c>
      <c r="D777" s="30">
        <v>0</v>
      </c>
      <c r="E777" s="30">
        <v>0</v>
      </c>
    </row>
    <row r="778" spans="1:15" x14ac:dyDescent="0.35">
      <c r="A778" s="119">
        <v>46034</v>
      </c>
      <c r="B778" s="30" t="s">
        <v>17</v>
      </c>
      <c r="C778" s="30">
        <v>11.5</v>
      </c>
      <c r="D778" s="30">
        <v>0</v>
      </c>
      <c r="E778" s="30">
        <v>0</v>
      </c>
    </row>
    <row r="779" spans="1:15" x14ac:dyDescent="0.35">
      <c r="A779" s="119">
        <v>46034</v>
      </c>
      <c r="B779" s="30" t="s">
        <v>18</v>
      </c>
      <c r="C779" s="30">
        <v>10</v>
      </c>
      <c r="D779" s="30">
        <v>0</v>
      </c>
      <c r="E779" s="30">
        <v>0</v>
      </c>
    </row>
    <row r="780" spans="1:15" x14ac:dyDescent="0.35">
      <c r="A780" s="119">
        <v>46034</v>
      </c>
      <c r="B780" s="30" t="s">
        <v>20</v>
      </c>
      <c r="C780" s="30">
        <v>11.5</v>
      </c>
      <c r="D780" s="30">
        <v>0</v>
      </c>
      <c r="E780" s="30">
        <v>0</v>
      </c>
    </row>
    <row r="781" spans="1:15" x14ac:dyDescent="0.35">
      <c r="A781" s="119">
        <v>46034</v>
      </c>
      <c r="B781" s="30" t="s">
        <v>4</v>
      </c>
      <c r="C781" s="30">
        <v>4.0999999999999996</v>
      </c>
      <c r="D781" s="30">
        <v>6.9</v>
      </c>
      <c r="E781" s="30">
        <v>0</v>
      </c>
      <c r="F781" s="30">
        <v>0</v>
      </c>
      <c r="O781" s="30" t="s">
        <v>331</v>
      </c>
    </row>
    <row r="782" spans="1:15" x14ac:dyDescent="0.35">
      <c r="A782" s="119">
        <v>46034</v>
      </c>
      <c r="B782" s="30" t="s">
        <v>2</v>
      </c>
      <c r="C782" s="30">
        <v>4</v>
      </c>
      <c r="D782" s="30">
        <v>7</v>
      </c>
      <c r="E782" s="30">
        <v>0</v>
      </c>
      <c r="F782" s="30">
        <v>0</v>
      </c>
      <c r="O782" s="30" t="s">
        <v>338</v>
      </c>
    </row>
    <row r="783" spans="1:15" x14ac:dyDescent="0.35">
      <c r="A783" s="119">
        <v>46034</v>
      </c>
      <c r="B783" s="30" t="s">
        <v>3</v>
      </c>
      <c r="C783" s="30">
        <v>3</v>
      </c>
      <c r="D783" s="30">
        <v>8</v>
      </c>
      <c r="E783" s="30">
        <v>0</v>
      </c>
      <c r="F783" s="30">
        <v>0</v>
      </c>
      <c r="O783" s="30" t="s">
        <v>325</v>
      </c>
    </row>
    <row r="784" spans="1:15" x14ac:dyDescent="0.35">
      <c r="A784" s="119">
        <v>46034</v>
      </c>
      <c r="B784" s="30" t="s">
        <v>373</v>
      </c>
      <c r="C784" s="30">
        <v>0</v>
      </c>
      <c r="D784" s="30">
        <v>0</v>
      </c>
      <c r="E784" s="30">
        <v>11</v>
      </c>
      <c r="F784" s="30">
        <v>0</v>
      </c>
      <c r="O784" s="30" t="s">
        <v>334</v>
      </c>
    </row>
    <row r="785" spans="1:15" x14ac:dyDescent="0.35">
      <c r="A785" s="119">
        <v>46034</v>
      </c>
      <c r="B785" s="30" t="s">
        <v>246</v>
      </c>
      <c r="C785" s="30">
        <v>0</v>
      </c>
      <c r="D785" s="30">
        <v>0</v>
      </c>
      <c r="E785" s="30">
        <v>11</v>
      </c>
      <c r="F785" s="30">
        <v>0</v>
      </c>
      <c r="O785" s="30" t="s">
        <v>335</v>
      </c>
    </row>
    <row r="786" spans="1:15" x14ac:dyDescent="0.35">
      <c r="A786" s="119">
        <v>46034</v>
      </c>
      <c r="B786" s="30" t="s">
        <v>8</v>
      </c>
      <c r="C786" s="30">
        <v>0</v>
      </c>
      <c r="D786" s="30">
        <v>0</v>
      </c>
      <c r="E786" s="30">
        <v>11</v>
      </c>
      <c r="F786" s="30">
        <v>0</v>
      </c>
      <c r="O786" s="30" t="s">
        <v>336</v>
      </c>
    </row>
    <row r="787" spans="1:15" x14ac:dyDescent="0.35">
      <c r="A787" s="119">
        <v>46034</v>
      </c>
      <c r="B787" s="30" t="s">
        <v>7</v>
      </c>
      <c r="C787" s="30">
        <v>6.8</v>
      </c>
      <c r="D787" s="30">
        <v>4.2</v>
      </c>
      <c r="E787" s="30">
        <v>0</v>
      </c>
      <c r="F787" s="30">
        <v>0</v>
      </c>
      <c r="O787" s="30" t="s">
        <v>282</v>
      </c>
    </row>
    <row r="788" spans="1:15" x14ac:dyDescent="0.35">
      <c r="A788" s="119">
        <v>46034</v>
      </c>
      <c r="B788" s="30" t="s">
        <v>9</v>
      </c>
      <c r="C788" s="30">
        <v>11</v>
      </c>
      <c r="D788" s="30" t="s">
        <v>212</v>
      </c>
      <c r="E788" s="30" t="s">
        <v>212</v>
      </c>
      <c r="F788" s="30" t="s">
        <v>212</v>
      </c>
    </row>
    <row r="789" spans="1:15" x14ac:dyDescent="0.35">
      <c r="A789" s="119">
        <v>46034</v>
      </c>
      <c r="B789" s="30" t="s">
        <v>10</v>
      </c>
      <c r="C789" s="30">
        <v>11</v>
      </c>
      <c r="D789" s="30" t="s">
        <v>212</v>
      </c>
      <c r="E789" s="30" t="s">
        <v>212</v>
      </c>
      <c r="F789" s="30" t="s">
        <v>212</v>
      </c>
    </row>
    <row r="790" spans="1:15" x14ac:dyDescent="0.35">
      <c r="A790" s="119">
        <v>46034</v>
      </c>
      <c r="B790" s="30" t="s">
        <v>11</v>
      </c>
      <c r="C790" s="30">
        <v>11</v>
      </c>
      <c r="D790" s="30" t="s">
        <v>212</v>
      </c>
      <c r="E790" s="30" t="s">
        <v>212</v>
      </c>
      <c r="F790" s="30" t="s">
        <v>212</v>
      </c>
    </row>
    <row r="791" spans="1:15" x14ac:dyDescent="0.35">
      <c r="A791" s="119">
        <v>46034</v>
      </c>
      <c r="B791" s="30" t="s">
        <v>21</v>
      </c>
      <c r="C791" s="30" t="s">
        <v>212</v>
      </c>
      <c r="D791" s="30" t="s">
        <v>212</v>
      </c>
      <c r="E791" s="30" t="s">
        <v>212</v>
      </c>
      <c r="F791" s="30">
        <v>1</v>
      </c>
    </row>
    <row r="792" spans="1:15" x14ac:dyDescent="0.35">
      <c r="A792" s="119">
        <v>46034</v>
      </c>
      <c r="B792" s="30" t="s">
        <v>22</v>
      </c>
      <c r="C792" s="30" t="s">
        <v>212</v>
      </c>
      <c r="D792" s="30" t="s">
        <v>212</v>
      </c>
      <c r="E792" s="30" t="s">
        <v>212</v>
      </c>
      <c r="F792" s="30">
        <v>0</v>
      </c>
    </row>
    <row r="793" spans="1:15" x14ac:dyDescent="0.35">
      <c r="A793" s="119">
        <v>46035</v>
      </c>
      <c r="B793" s="30" t="s">
        <v>13</v>
      </c>
      <c r="C793" s="30">
        <v>11.5</v>
      </c>
      <c r="D793" s="30">
        <v>0</v>
      </c>
      <c r="E793" s="30">
        <v>0</v>
      </c>
    </row>
    <row r="794" spans="1:15" x14ac:dyDescent="0.35">
      <c r="A794" s="119">
        <v>46035</v>
      </c>
      <c r="B794" s="30" t="s">
        <v>14</v>
      </c>
      <c r="C794" s="30">
        <v>11.5</v>
      </c>
      <c r="D794" s="30">
        <v>0</v>
      </c>
      <c r="E794" s="30">
        <v>0</v>
      </c>
    </row>
    <row r="795" spans="1:15" x14ac:dyDescent="0.35">
      <c r="A795" s="119">
        <v>46035</v>
      </c>
      <c r="B795" s="30" t="s">
        <v>15</v>
      </c>
      <c r="C795" s="30">
        <v>11.5</v>
      </c>
      <c r="D795" s="30">
        <v>0</v>
      </c>
      <c r="E795" s="30">
        <v>0</v>
      </c>
    </row>
    <row r="796" spans="1:15" x14ac:dyDescent="0.35">
      <c r="A796" s="119">
        <v>46035</v>
      </c>
      <c r="B796" s="30" t="s">
        <v>16</v>
      </c>
      <c r="C796" s="30">
        <v>11.5</v>
      </c>
      <c r="D796" s="30">
        <v>0</v>
      </c>
      <c r="E796" s="30">
        <v>0</v>
      </c>
    </row>
    <row r="797" spans="1:15" x14ac:dyDescent="0.35">
      <c r="A797" s="119">
        <v>46035</v>
      </c>
      <c r="B797" s="30" t="s">
        <v>17</v>
      </c>
      <c r="C797" s="30">
        <v>11.5</v>
      </c>
      <c r="D797" s="30">
        <v>0</v>
      </c>
      <c r="E797" s="30">
        <v>0</v>
      </c>
    </row>
    <row r="798" spans="1:15" x14ac:dyDescent="0.35">
      <c r="A798" s="119">
        <v>46035</v>
      </c>
      <c r="B798" s="30" t="s">
        <v>18</v>
      </c>
      <c r="C798" s="30">
        <v>11.5</v>
      </c>
      <c r="D798" s="30">
        <v>0</v>
      </c>
      <c r="E798" s="30">
        <v>0</v>
      </c>
    </row>
    <row r="799" spans="1:15" x14ac:dyDescent="0.35">
      <c r="A799" s="119">
        <v>46035</v>
      </c>
      <c r="B799" s="30" t="s">
        <v>20</v>
      </c>
      <c r="C799" s="30">
        <v>6.5</v>
      </c>
      <c r="D799" s="30">
        <v>0</v>
      </c>
      <c r="E799" s="30">
        <v>0</v>
      </c>
    </row>
    <row r="800" spans="1:15" x14ac:dyDescent="0.35">
      <c r="A800" s="119">
        <v>46035</v>
      </c>
      <c r="B800" s="30" t="s">
        <v>340</v>
      </c>
      <c r="C800" s="30">
        <v>5</v>
      </c>
      <c r="D800" s="30">
        <v>0</v>
      </c>
      <c r="E800" s="30">
        <v>0</v>
      </c>
    </row>
    <row r="801" spans="1:15" x14ac:dyDescent="0.35">
      <c r="A801" s="119">
        <v>46035</v>
      </c>
      <c r="B801" s="30" t="s">
        <v>4</v>
      </c>
      <c r="C801" s="30">
        <v>5.8999999999996362</v>
      </c>
      <c r="D801" s="30">
        <v>5.1000000000003638</v>
      </c>
      <c r="E801" s="30">
        <v>0</v>
      </c>
      <c r="F801" s="30">
        <v>0</v>
      </c>
      <c r="O801" s="30" t="s">
        <v>341</v>
      </c>
    </row>
    <row r="802" spans="1:15" x14ac:dyDescent="0.35">
      <c r="A802" s="119">
        <v>46035</v>
      </c>
      <c r="B802" s="30" t="s">
        <v>2</v>
      </c>
      <c r="C802" s="30">
        <v>8</v>
      </c>
      <c r="D802" s="30">
        <v>3</v>
      </c>
      <c r="E802" s="30">
        <v>0</v>
      </c>
      <c r="F802" s="30">
        <v>0</v>
      </c>
      <c r="O802" s="30" t="s">
        <v>342</v>
      </c>
    </row>
    <row r="803" spans="1:15" x14ac:dyDescent="0.35">
      <c r="A803" s="119">
        <v>46035</v>
      </c>
      <c r="B803" s="30" t="s">
        <v>3</v>
      </c>
      <c r="C803" s="30">
        <v>6</v>
      </c>
      <c r="D803" s="30">
        <v>5</v>
      </c>
      <c r="E803" s="30">
        <v>0</v>
      </c>
      <c r="F803" s="30">
        <v>0</v>
      </c>
      <c r="O803" s="30" t="s">
        <v>325</v>
      </c>
    </row>
    <row r="804" spans="1:15" x14ac:dyDescent="0.35">
      <c r="A804" s="119">
        <v>46035</v>
      </c>
      <c r="B804" s="30" t="s">
        <v>373</v>
      </c>
      <c r="C804" s="30">
        <v>4</v>
      </c>
      <c r="D804" s="30">
        <v>5</v>
      </c>
      <c r="E804" s="30">
        <v>2</v>
      </c>
      <c r="F804" s="30">
        <v>0</v>
      </c>
      <c r="O804" s="30" t="s">
        <v>334</v>
      </c>
    </row>
    <row r="805" spans="1:15" x14ac:dyDescent="0.35">
      <c r="A805" s="119">
        <v>46035</v>
      </c>
      <c r="B805" s="30" t="s">
        <v>246</v>
      </c>
      <c r="C805" s="30">
        <v>3.3999999999996362</v>
      </c>
      <c r="D805" s="30">
        <v>7.6000000000003638</v>
      </c>
      <c r="E805" s="30">
        <v>0</v>
      </c>
      <c r="F805" s="30">
        <v>0</v>
      </c>
      <c r="O805" s="30" t="s">
        <v>343</v>
      </c>
    </row>
    <row r="806" spans="1:15" x14ac:dyDescent="0.35">
      <c r="A806" s="119">
        <v>46035</v>
      </c>
      <c r="B806" s="30" t="s">
        <v>8</v>
      </c>
      <c r="C806" s="30">
        <v>0</v>
      </c>
      <c r="D806" s="30">
        <v>11</v>
      </c>
      <c r="E806" s="30">
        <v>0</v>
      </c>
      <c r="F806" s="30">
        <v>0</v>
      </c>
      <c r="O806" s="30" t="s">
        <v>336</v>
      </c>
    </row>
    <row r="807" spans="1:15" x14ac:dyDescent="0.35">
      <c r="A807" s="119">
        <v>46035</v>
      </c>
      <c r="B807" s="30" t="s">
        <v>7</v>
      </c>
      <c r="C807" s="30">
        <v>1</v>
      </c>
      <c r="D807" s="30">
        <v>10</v>
      </c>
      <c r="E807" s="30">
        <v>0</v>
      </c>
      <c r="F807" s="30">
        <v>0</v>
      </c>
      <c r="O807" s="30" t="s">
        <v>282</v>
      </c>
    </row>
    <row r="808" spans="1:15" x14ac:dyDescent="0.35">
      <c r="A808" s="119">
        <v>46035</v>
      </c>
      <c r="B808" s="30" t="s">
        <v>9</v>
      </c>
      <c r="C808" s="30">
        <v>11</v>
      </c>
      <c r="D808" s="30" t="s">
        <v>212</v>
      </c>
      <c r="E808" s="30" t="s">
        <v>212</v>
      </c>
      <c r="F808" s="30" t="s">
        <v>212</v>
      </c>
    </row>
    <row r="809" spans="1:15" x14ac:dyDescent="0.35">
      <c r="A809" s="119">
        <v>46035</v>
      </c>
      <c r="B809" s="30" t="s">
        <v>10</v>
      </c>
      <c r="C809" s="30">
        <v>11</v>
      </c>
      <c r="D809" s="30" t="s">
        <v>212</v>
      </c>
      <c r="E809" s="30" t="s">
        <v>212</v>
      </c>
      <c r="F809" s="30" t="s">
        <v>212</v>
      </c>
    </row>
    <row r="810" spans="1:15" x14ac:dyDescent="0.35">
      <c r="A810" s="119">
        <v>46035</v>
      </c>
      <c r="B810" s="30" t="s">
        <v>11</v>
      </c>
      <c r="C810" s="30">
        <v>11</v>
      </c>
      <c r="D810" s="30" t="s">
        <v>212</v>
      </c>
      <c r="E810" s="30" t="s">
        <v>212</v>
      </c>
      <c r="F810" s="30" t="s">
        <v>212</v>
      </c>
    </row>
    <row r="811" spans="1:15" x14ac:dyDescent="0.35">
      <c r="A811" s="119">
        <v>46035</v>
      </c>
      <c r="B811" s="30" t="s">
        <v>21</v>
      </c>
      <c r="C811" s="30" t="s">
        <v>212</v>
      </c>
      <c r="D811" s="30" t="s">
        <v>212</v>
      </c>
      <c r="E811" s="30" t="s">
        <v>212</v>
      </c>
      <c r="F811" s="30">
        <v>1</v>
      </c>
    </row>
    <row r="812" spans="1:15" x14ac:dyDescent="0.35">
      <c r="A812" s="119">
        <v>46035</v>
      </c>
      <c r="B812" s="30" t="s">
        <v>22</v>
      </c>
      <c r="C812" s="30" t="s">
        <v>212</v>
      </c>
      <c r="D812" s="30" t="s">
        <v>212</v>
      </c>
      <c r="E812" s="30" t="s">
        <v>212</v>
      </c>
      <c r="F812" s="30">
        <v>0</v>
      </c>
    </row>
    <row r="813" spans="1:15" x14ac:dyDescent="0.35">
      <c r="A813" s="119">
        <v>46036</v>
      </c>
      <c r="B813" s="30" t="s">
        <v>13</v>
      </c>
      <c r="C813" s="30">
        <v>11.5</v>
      </c>
      <c r="D813" s="30">
        <v>0</v>
      </c>
      <c r="E813" s="30">
        <v>0</v>
      </c>
    </row>
    <row r="814" spans="1:15" x14ac:dyDescent="0.35">
      <c r="A814" s="119">
        <v>46036</v>
      </c>
      <c r="B814" s="30" t="s">
        <v>14</v>
      </c>
      <c r="C814" s="30">
        <v>11.5</v>
      </c>
      <c r="D814" s="30">
        <v>0</v>
      </c>
      <c r="E814" s="30">
        <v>0</v>
      </c>
    </row>
    <row r="815" spans="1:15" x14ac:dyDescent="0.35">
      <c r="A815" s="119">
        <v>46036</v>
      </c>
      <c r="B815" s="30" t="s">
        <v>15</v>
      </c>
      <c r="C815" s="30">
        <v>11.5</v>
      </c>
      <c r="D815" s="30">
        <v>0</v>
      </c>
      <c r="E815" s="30">
        <v>0</v>
      </c>
    </row>
    <row r="816" spans="1:15" x14ac:dyDescent="0.35">
      <c r="A816" s="119">
        <v>46036</v>
      </c>
      <c r="B816" s="30" t="s">
        <v>16</v>
      </c>
      <c r="C816" s="30">
        <v>11.5</v>
      </c>
      <c r="D816" s="30">
        <v>0</v>
      </c>
      <c r="E816" s="30">
        <v>0</v>
      </c>
    </row>
    <row r="817" spans="1:15" x14ac:dyDescent="0.35">
      <c r="A817" s="119">
        <v>46036</v>
      </c>
      <c r="B817" s="30" t="s">
        <v>17</v>
      </c>
      <c r="C817" s="30">
        <v>11.5</v>
      </c>
      <c r="D817" s="30">
        <v>0</v>
      </c>
      <c r="E817" s="30">
        <v>0</v>
      </c>
    </row>
    <row r="818" spans="1:15" x14ac:dyDescent="0.35">
      <c r="A818" s="119">
        <v>46036</v>
      </c>
      <c r="B818" s="30" t="s">
        <v>18</v>
      </c>
      <c r="C818" s="30">
        <v>11.5</v>
      </c>
      <c r="D818" s="30">
        <v>0</v>
      </c>
      <c r="E818" s="30">
        <v>0</v>
      </c>
    </row>
    <row r="819" spans="1:15" x14ac:dyDescent="0.35">
      <c r="A819" s="119">
        <v>46036</v>
      </c>
      <c r="B819" s="30" t="s">
        <v>20</v>
      </c>
      <c r="C819" s="30">
        <v>0</v>
      </c>
      <c r="D819" s="30">
        <v>0</v>
      </c>
      <c r="E819" s="30">
        <v>0</v>
      </c>
    </row>
    <row r="820" spans="1:15" x14ac:dyDescent="0.35">
      <c r="A820" s="119">
        <v>46036</v>
      </c>
      <c r="B820" s="30" t="s">
        <v>340</v>
      </c>
      <c r="C820" s="30">
        <v>11.5</v>
      </c>
      <c r="D820" s="30">
        <v>0</v>
      </c>
      <c r="E820" s="30">
        <v>0</v>
      </c>
    </row>
    <row r="821" spans="1:15" x14ac:dyDescent="0.35">
      <c r="A821" s="119">
        <v>46036</v>
      </c>
      <c r="B821" s="30" t="s">
        <v>4</v>
      </c>
      <c r="C821" s="30">
        <v>1.7000000000007276</v>
      </c>
      <c r="D821" s="30">
        <v>0</v>
      </c>
      <c r="E821" s="30">
        <v>9.2999999999992724</v>
      </c>
      <c r="F821" s="30">
        <v>0</v>
      </c>
      <c r="O821" s="30" t="s">
        <v>347</v>
      </c>
    </row>
    <row r="822" spans="1:15" x14ac:dyDescent="0.35">
      <c r="A822" s="119">
        <v>46036</v>
      </c>
      <c r="B822" s="30" t="s">
        <v>2</v>
      </c>
      <c r="C822" s="30">
        <v>6</v>
      </c>
      <c r="D822" s="30">
        <v>5</v>
      </c>
      <c r="E822" s="30">
        <v>0</v>
      </c>
      <c r="F822" s="30">
        <v>0</v>
      </c>
      <c r="O822" s="30" t="s">
        <v>342</v>
      </c>
    </row>
    <row r="823" spans="1:15" x14ac:dyDescent="0.35">
      <c r="A823" s="119">
        <v>46036</v>
      </c>
      <c r="B823" s="30" t="s">
        <v>3</v>
      </c>
      <c r="C823" s="30">
        <v>8</v>
      </c>
      <c r="D823" s="30">
        <v>3</v>
      </c>
      <c r="E823" s="30">
        <v>0</v>
      </c>
      <c r="F823" s="30">
        <v>0</v>
      </c>
      <c r="O823" s="30" t="s">
        <v>325</v>
      </c>
    </row>
    <row r="824" spans="1:15" x14ac:dyDescent="0.35">
      <c r="A824" s="119">
        <v>46036</v>
      </c>
      <c r="B824" s="30" t="s">
        <v>373</v>
      </c>
      <c r="C824" s="30">
        <v>4</v>
      </c>
      <c r="D824" s="30">
        <v>5</v>
      </c>
      <c r="E824" s="30">
        <v>2</v>
      </c>
      <c r="F824" s="30">
        <v>0</v>
      </c>
      <c r="O824" s="30" t="s">
        <v>334</v>
      </c>
    </row>
    <row r="825" spans="1:15" x14ac:dyDescent="0.35">
      <c r="A825" s="119">
        <v>46036</v>
      </c>
      <c r="B825" s="30" t="s">
        <v>246</v>
      </c>
      <c r="C825" s="30">
        <v>5.8000000000001819</v>
      </c>
      <c r="D825" s="30">
        <v>5.1999999999998181</v>
      </c>
      <c r="E825" s="30">
        <v>0</v>
      </c>
      <c r="F825" s="30">
        <v>0</v>
      </c>
      <c r="O825" s="30" t="s">
        <v>343</v>
      </c>
    </row>
    <row r="826" spans="1:15" x14ac:dyDescent="0.35">
      <c r="A826" s="119">
        <v>46036</v>
      </c>
      <c r="B826" s="30" t="s">
        <v>8</v>
      </c>
      <c r="C826" s="30">
        <v>3</v>
      </c>
      <c r="D826" s="30">
        <v>8</v>
      </c>
      <c r="E826" s="30">
        <v>0</v>
      </c>
      <c r="F826" s="30">
        <v>0</v>
      </c>
      <c r="O826" s="30" t="s">
        <v>325</v>
      </c>
    </row>
    <row r="827" spans="1:15" x14ac:dyDescent="0.35">
      <c r="A827" s="119">
        <v>46036</v>
      </c>
      <c r="B827" s="30" t="s">
        <v>7</v>
      </c>
      <c r="C827" s="30">
        <v>0.2000000000007276</v>
      </c>
      <c r="D827" s="30">
        <v>10.799999999999272</v>
      </c>
      <c r="E827" s="30">
        <v>0</v>
      </c>
      <c r="F827" s="30">
        <v>0</v>
      </c>
      <c r="O827" s="30" t="s">
        <v>348</v>
      </c>
    </row>
    <row r="828" spans="1:15" x14ac:dyDescent="0.35">
      <c r="A828" s="119">
        <v>46036</v>
      </c>
      <c r="B828" s="30" t="s">
        <v>9</v>
      </c>
      <c r="C828" s="30">
        <v>11</v>
      </c>
      <c r="D828" s="30" t="s">
        <v>212</v>
      </c>
      <c r="E828" s="30" t="s">
        <v>212</v>
      </c>
      <c r="F828" s="30" t="s">
        <v>212</v>
      </c>
    </row>
    <row r="829" spans="1:15" x14ac:dyDescent="0.35">
      <c r="A829" s="119">
        <v>46036</v>
      </c>
      <c r="B829" s="30" t="s">
        <v>10</v>
      </c>
      <c r="C829" s="30">
        <v>11</v>
      </c>
      <c r="D829" s="30" t="s">
        <v>212</v>
      </c>
      <c r="E829" s="30" t="s">
        <v>212</v>
      </c>
      <c r="F829" s="30" t="s">
        <v>212</v>
      </c>
    </row>
    <row r="830" spans="1:15" x14ac:dyDescent="0.35">
      <c r="A830" s="119">
        <v>46036</v>
      </c>
      <c r="B830" s="30" t="s">
        <v>11</v>
      </c>
      <c r="C830" s="30">
        <v>11</v>
      </c>
      <c r="D830" s="30" t="s">
        <v>212</v>
      </c>
      <c r="E830" s="30" t="s">
        <v>212</v>
      </c>
      <c r="F830" s="30" t="s">
        <v>212</v>
      </c>
    </row>
    <row r="831" spans="1:15" x14ac:dyDescent="0.35">
      <c r="A831" s="119">
        <v>46036</v>
      </c>
      <c r="B831" s="30" t="s">
        <v>21</v>
      </c>
      <c r="C831" s="30" t="s">
        <v>212</v>
      </c>
      <c r="D831" s="30" t="s">
        <v>212</v>
      </c>
      <c r="E831" s="30" t="s">
        <v>212</v>
      </c>
      <c r="F831" s="30">
        <v>1</v>
      </c>
    </row>
    <row r="832" spans="1:15" x14ac:dyDescent="0.35">
      <c r="A832" s="119">
        <v>46036</v>
      </c>
      <c r="B832" s="30" t="s">
        <v>22</v>
      </c>
      <c r="C832" s="30" t="s">
        <v>212</v>
      </c>
      <c r="D832" s="30" t="s">
        <v>212</v>
      </c>
      <c r="E832" s="30" t="s">
        <v>212</v>
      </c>
      <c r="F832" s="30">
        <v>0</v>
      </c>
    </row>
    <row r="833" spans="1:15" x14ac:dyDescent="0.35">
      <c r="A833" s="119">
        <v>46037</v>
      </c>
      <c r="B833" s="30" t="s">
        <v>13</v>
      </c>
      <c r="C833" s="30">
        <v>11.5</v>
      </c>
      <c r="D833" s="30">
        <v>0</v>
      </c>
      <c r="E833" s="30">
        <v>0</v>
      </c>
    </row>
    <row r="834" spans="1:15" x14ac:dyDescent="0.35">
      <c r="A834" s="119">
        <v>46037</v>
      </c>
      <c r="B834" s="30" t="s">
        <v>14</v>
      </c>
      <c r="C834" s="30">
        <v>11.5</v>
      </c>
      <c r="D834" s="30">
        <v>0</v>
      </c>
      <c r="E834" s="30">
        <v>0</v>
      </c>
    </row>
    <row r="835" spans="1:15" x14ac:dyDescent="0.35">
      <c r="A835" s="119">
        <v>46037</v>
      </c>
      <c r="B835" s="30" t="s">
        <v>15</v>
      </c>
      <c r="C835" s="30">
        <v>11.5</v>
      </c>
      <c r="D835" s="30">
        <v>0</v>
      </c>
      <c r="E835" s="30">
        <v>0</v>
      </c>
    </row>
    <row r="836" spans="1:15" x14ac:dyDescent="0.35">
      <c r="A836" s="119">
        <v>46037</v>
      </c>
      <c r="B836" s="30" t="s">
        <v>16</v>
      </c>
      <c r="C836" s="30">
        <v>11.5</v>
      </c>
      <c r="D836" s="30">
        <v>0</v>
      </c>
      <c r="E836" s="30">
        <v>0</v>
      </c>
    </row>
    <row r="837" spans="1:15" x14ac:dyDescent="0.35">
      <c r="A837" s="119">
        <v>46037</v>
      </c>
      <c r="B837" s="30" t="s">
        <v>17</v>
      </c>
      <c r="C837" s="30">
        <v>11.5</v>
      </c>
      <c r="D837" s="30">
        <v>0</v>
      </c>
      <c r="E837" s="30">
        <v>0</v>
      </c>
    </row>
    <row r="838" spans="1:15" x14ac:dyDescent="0.35">
      <c r="A838" s="119">
        <v>46037</v>
      </c>
      <c r="B838" s="30" t="s">
        <v>18</v>
      </c>
      <c r="C838" s="30">
        <v>11.5</v>
      </c>
      <c r="D838" s="30">
        <v>0</v>
      </c>
      <c r="E838" s="30">
        <v>0</v>
      </c>
    </row>
    <row r="839" spans="1:15" x14ac:dyDescent="0.35">
      <c r="A839" s="119">
        <v>46037</v>
      </c>
      <c r="B839" s="30" t="s">
        <v>20</v>
      </c>
      <c r="C839" s="30">
        <v>0</v>
      </c>
      <c r="D839" s="30">
        <v>0</v>
      </c>
      <c r="E839" s="30">
        <v>0</v>
      </c>
    </row>
    <row r="840" spans="1:15" x14ac:dyDescent="0.35">
      <c r="A840" s="119">
        <v>46037</v>
      </c>
      <c r="B840" s="30" t="s">
        <v>340</v>
      </c>
      <c r="C840" s="30">
        <v>11.5</v>
      </c>
      <c r="D840" s="30">
        <v>0</v>
      </c>
      <c r="E840" s="30">
        <v>0</v>
      </c>
    </row>
    <row r="841" spans="1:15" x14ac:dyDescent="0.35">
      <c r="A841" s="119">
        <v>46037</v>
      </c>
      <c r="B841" s="30" t="s">
        <v>4</v>
      </c>
      <c r="C841" s="30">
        <v>7</v>
      </c>
      <c r="D841" s="30">
        <v>4</v>
      </c>
      <c r="E841" s="30">
        <v>0</v>
      </c>
      <c r="F841" s="30">
        <v>0</v>
      </c>
      <c r="O841" s="30" t="s">
        <v>352</v>
      </c>
    </row>
    <row r="842" spans="1:15" x14ac:dyDescent="0.35">
      <c r="A842" s="119">
        <v>46037</v>
      </c>
      <c r="B842" s="30" t="s">
        <v>2</v>
      </c>
      <c r="C842" s="30">
        <v>8</v>
      </c>
      <c r="D842" s="30">
        <v>3</v>
      </c>
      <c r="E842" s="30">
        <v>0</v>
      </c>
      <c r="F842" s="30">
        <v>0</v>
      </c>
      <c r="O842" s="30" t="s">
        <v>342</v>
      </c>
    </row>
    <row r="843" spans="1:15" x14ac:dyDescent="0.35">
      <c r="A843" s="119">
        <v>46037</v>
      </c>
      <c r="B843" s="30" t="s">
        <v>3</v>
      </c>
      <c r="C843" s="30">
        <v>5</v>
      </c>
      <c r="D843" s="30">
        <v>6</v>
      </c>
      <c r="E843" s="30">
        <v>0</v>
      </c>
      <c r="F843" s="30">
        <v>0</v>
      </c>
      <c r="O843" s="30" t="s">
        <v>325</v>
      </c>
    </row>
    <row r="844" spans="1:15" x14ac:dyDescent="0.35">
      <c r="A844" s="119">
        <v>46037</v>
      </c>
      <c r="B844" s="30" t="s">
        <v>373</v>
      </c>
      <c r="C844" s="30">
        <v>5.8000000000001819</v>
      </c>
      <c r="D844" s="30">
        <v>5</v>
      </c>
      <c r="E844" s="30">
        <v>0</v>
      </c>
      <c r="F844" s="30">
        <v>0</v>
      </c>
      <c r="O844" s="30" t="s">
        <v>353</v>
      </c>
    </row>
    <row r="845" spans="1:15" x14ac:dyDescent="0.35">
      <c r="A845" s="119">
        <v>46037</v>
      </c>
      <c r="B845" s="30" t="s">
        <v>246</v>
      </c>
      <c r="C845" s="30">
        <v>5.8000000000001819</v>
      </c>
      <c r="D845" s="30">
        <v>5.1999999999998181</v>
      </c>
      <c r="E845" s="30">
        <v>0</v>
      </c>
      <c r="F845" s="30">
        <v>0</v>
      </c>
      <c r="O845" s="30" t="s">
        <v>343</v>
      </c>
    </row>
    <row r="846" spans="1:15" x14ac:dyDescent="0.35">
      <c r="A846" s="119">
        <v>46037</v>
      </c>
      <c r="B846" s="30" t="s">
        <v>8</v>
      </c>
      <c r="C846" s="30">
        <v>8</v>
      </c>
      <c r="D846" s="30">
        <v>3</v>
      </c>
      <c r="E846" s="30">
        <v>0</v>
      </c>
      <c r="F846" s="30">
        <v>0</v>
      </c>
      <c r="O846" s="30" t="s">
        <v>325</v>
      </c>
    </row>
    <row r="847" spans="1:15" x14ac:dyDescent="0.35">
      <c r="A847" s="119">
        <v>46037</v>
      </c>
      <c r="B847" s="30" t="s">
        <v>7</v>
      </c>
      <c r="C847" s="30">
        <v>0.3999999999996362</v>
      </c>
      <c r="D847" s="30">
        <v>10.600000000000364</v>
      </c>
      <c r="E847" s="30">
        <v>0</v>
      </c>
      <c r="F847" s="30">
        <v>0</v>
      </c>
      <c r="O847" s="30" t="s">
        <v>348</v>
      </c>
    </row>
    <row r="848" spans="1:15" x14ac:dyDescent="0.35">
      <c r="A848" s="119">
        <v>46037</v>
      </c>
      <c r="B848" s="30" t="s">
        <v>9</v>
      </c>
      <c r="C848" s="30">
        <v>11</v>
      </c>
      <c r="D848" s="30" t="s">
        <v>212</v>
      </c>
      <c r="E848" s="30" t="s">
        <v>212</v>
      </c>
      <c r="F848" s="30" t="s">
        <v>212</v>
      </c>
    </row>
    <row r="849" spans="1:15" x14ac:dyDescent="0.35">
      <c r="A849" s="119">
        <v>46037</v>
      </c>
      <c r="B849" s="30" t="s">
        <v>10</v>
      </c>
      <c r="C849" s="30">
        <v>11</v>
      </c>
      <c r="D849" s="30" t="s">
        <v>212</v>
      </c>
      <c r="E849" s="30" t="s">
        <v>212</v>
      </c>
      <c r="F849" s="30" t="s">
        <v>212</v>
      </c>
    </row>
    <row r="850" spans="1:15" x14ac:dyDescent="0.35">
      <c r="A850" s="119">
        <v>46037</v>
      </c>
      <c r="B850" s="30" t="s">
        <v>11</v>
      </c>
      <c r="C850" s="30">
        <v>11</v>
      </c>
      <c r="D850" s="30" t="s">
        <v>212</v>
      </c>
      <c r="E850" s="30" t="s">
        <v>212</v>
      </c>
      <c r="F850" s="30" t="s">
        <v>212</v>
      </c>
    </row>
    <row r="851" spans="1:15" x14ac:dyDescent="0.35">
      <c r="A851" s="119">
        <v>46037</v>
      </c>
      <c r="B851" s="30" t="s">
        <v>21</v>
      </c>
      <c r="C851" s="30" t="s">
        <v>212</v>
      </c>
      <c r="D851" s="30" t="s">
        <v>212</v>
      </c>
      <c r="E851" s="30" t="s">
        <v>212</v>
      </c>
      <c r="F851" s="30">
        <v>0</v>
      </c>
    </row>
    <row r="852" spans="1:15" x14ac:dyDescent="0.35">
      <c r="A852" s="119">
        <v>46037</v>
      </c>
      <c r="B852" s="30" t="s">
        <v>22</v>
      </c>
      <c r="C852" s="30" t="s">
        <v>212</v>
      </c>
      <c r="D852" s="30" t="s">
        <v>212</v>
      </c>
      <c r="E852" s="30" t="s">
        <v>212</v>
      </c>
      <c r="F852" s="30">
        <v>1</v>
      </c>
    </row>
    <row r="853" spans="1:15" x14ac:dyDescent="0.35">
      <c r="A853" s="119">
        <v>46038</v>
      </c>
      <c r="B853" s="30" t="s">
        <v>13</v>
      </c>
      <c r="C853" s="30">
        <v>11.5</v>
      </c>
      <c r="D853" s="30">
        <v>0</v>
      </c>
      <c r="E853" s="30">
        <v>0</v>
      </c>
    </row>
    <row r="854" spans="1:15" x14ac:dyDescent="0.35">
      <c r="A854" s="119">
        <v>46038</v>
      </c>
      <c r="B854" s="30" t="s">
        <v>14</v>
      </c>
      <c r="C854" s="30">
        <v>11.5</v>
      </c>
      <c r="D854" s="30">
        <v>0</v>
      </c>
      <c r="E854" s="30">
        <v>0</v>
      </c>
    </row>
    <row r="855" spans="1:15" x14ac:dyDescent="0.35">
      <c r="A855" s="119">
        <v>46038</v>
      </c>
      <c r="B855" s="30" t="s">
        <v>15</v>
      </c>
      <c r="C855" s="30">
        <v>11.5</v>
      </c>
      <c r="D855" s="30">
        <v>0</v>
      </c>
      <c r="E855" s="30">
        <v>0</v>
      </c>
    </row>
    <row r="856" spans="1:15" x14ac:dyDescent="0.35">
      <c r="A856" s="119">
        <v>46038</v>
      </c>
      <c r="B856" s="30" t="s">
        <v>16</v>
      </c>
      <c r="C856" s="30">
        <v>11.5</v>
      </c>
      <c r="D856" s="30">
        <v>0</v>
      </c>
      <c r="E856" s="30">
        <v>0</v>
      </c>
    </row>
    <row r="857" spans="1:15" x14ac:dyDescent="0.35">
      <c r="A857" s="119">
        <v>46038</v>
      </c>
      <c r="B857" s="30" t="s">
        <v>17</v>
      </c>
      <c r="C857" s="30">
        <v>11.5</v>
      </c>
      <c r="D857" s="30">
        <v>0</v>
      </c>
      <c r="E857" s="30">
        <v>0</v>
      </c>
    </row>
    <row r="858" spans="1:15" x14ac:dyDescent="0.35">
      <c r="A858" s="119">
        <v>46038</v>
      </c>
      <c r="B858" s="30" t="s">
        <v>18</v>
      </c>
      <c r="C858" s="30">
        <v>11.5</v>
      </c>
      <c r="D858" s="30">
        <v>0</v>
      </c>
      <c r="E858" s="30">
        <v>0</v>
      </c>
    </row>
    <row r="859" spans="1:15" x14ac:dyDescent="0.35">
      <c r="A859" s="119">
        <v>46038</v>
      </c>
      <c r="B859" s="30" t="s">
        <v>20</v>
      </c>
      <c r="C859" s="30">
        <v>0</v>
      </c>
      <c r="D859" s="30">
        <v>0</v>
      </c>
      <c r="E859" s="30">
        <v>0</v>
      </c>
    </row>
    <row r="860" spans="1:15" x14ac:dyDescent="0.35">
      <c r="A860" s="119">
        <v>46038</v>
      </c>
      <c r="B860" s="30" t="s">
        <v>340</v>
      </c>
      <c r="C860" s="30">
        <v>11.5</v>
      </c>
      <c r="D860" s="30">
        <v>0</v>
      </c>
      <c r="E860" s="30">
        <v>0</v>
      </c>
    </row>
    <row r="861" spans="1:15" x14ac:dyDescent="0.35">
      <c r="A861" s="119">
        <v>46038</v>
      </c>
      <c r="B861" s="30" t="s">
        <v>4</v>
      </c>
      <c r="C861" s="30">
        <v>1.5999999999985448</v>
      </c>
      <c r="D861" s="30">
        <v>9.4000000000014552</v>
      </c>
      <c r="E861" s="30">
        <v>0</v>
      </c>
      <c r="F861" s="30">
        <v>0</v>
      </c>
      <c r="O861" s="30" t="s">
        <v>352</v>
      </c>
    </row>
    <row r="862" spans="1:15" x14ac:dyDescent="0.35">
      <c r="A862" s="119">
        <v>46038</v>
      </c>
      <c r="B862" s="30" t="s">
        <v>2</v>
      </c>
      <c r="C862" s="30">
        <v>8</v>
      </c>
      <c r="D862" s="30">
        <v>3</v>
      </c>
      <c r="E862" s="30">
        <v>0</v>
      </c>
      <c r="F862" s="30">
        <v>0</v>
      </c>
      <c r="O862" s="30" t="s">
        <v>342</v>
      </c>
    </row>
    <row r="863" spans="1:15" x14ac:dyDescent="0.35">
      <c r="A863" s="119">
        <v>46038</v>
      </c>
      <c r="B863" s="30" t="s">
        <v>3</v>
      </c>
      <c r="C863" s="30">
        <v>5</v>
      </c>
      <c r="D863" s="30">
        <v>6</v>
      </c>
      <c r="E863" s="30">
        <v>0</v>
      </c>
      <c r="F863" s="30">
        <v>0</v>
      </c>
      <c r="O863" s="30" t="s">
        <v>325</v>
      </c>
    </row>
    <row r="864" spans="1:15" x14ac:dyDescent="0.35">
      <c r="A864" s="119">
        <v>46038</v>
      </c>
      <c r="B864" s="30" t="s">
        <v>373</v>
      </c>
      <c r="C864" s="30">
        <v>7.1999999999998181</v>
      </c>
      <c r="D864" s="30">
        <v>3.8000000000001819</v>
      </c>
      <c r="E864" s="30">
        <v>0</v>
      </c>
      <c r="F864" s="30">
        <v>0</v>
      </c>
      <c r="O864" s="30" t="s">
        <v>353</v>
      </c>
    </row>
    <row r="865" spans="1:15" x14ac:dyDescent="0.35">
      <c r="A865" s="119">
        <v>46038</v>
      </c>
      <c r="B865" s="30" t="s">
        <v>246</v>
      </c>
      <c r="C865" s="30">
        <v>8</v>
      </c>
      <c r="D865" s="30">
        <v>3</v>
      </c>
      <c r="E865" s="30">
        <v>0</v>
      </c>
      <c r="F865" s="30">
        <v>0</v>
      </c>
      <c r="O865" s="30" t="s">
        <v>343</v>
      </c>
    </row>
    <row r="866" spans="1:15" x14ac:dyDescent="0.35">
      <c r="A866" s="119">
        <v>46038</v>
      </c>
      <c r="B866" s="30" t="s">
        <v>8</v>
      </c>
      <c r="C866" s="30">
        <v>0</v>
      </c>
      <c r="D866" s="30">
        <v>11</v>
      </c>
      <c r="E866" s="30">
        <v>0</v>
      </c>
      <c r="F866" s="30">
        <v>0</v>
      </c>
      <c r="O866" s="30" t="s">
        <v>356</v>
      </c>
    </row>
    <row r="867" spans="1:15" x14ac:dyDescent="0.35">
      <c r="A867" s="119">
        <v>46038</v>
      </c>
      <c r="B867" s="30" t="s">
        <v>7</v>
      </c>
      <c r="C867" s="30">
        <v>0.5</v>
      </c>
      <c r="D867" s="30">
        <v>10.5</v>
      </c>
      <c r="E867" s="30">
        <v>0</v>
      </c>
      <c r="F867" s="30">
        <v>0</v>
      </c>
      <c r="O867" s="30" t="s">
        <v>348</v>
      </c>
    </row>
    <row r="868" spans="1:15" x14ac:dyDescent="0.35">
      <c r="A868" s="119">
        <v>46038</v>
      </c>
      <c r="B868" s="30" t="s">
        <v>9</v>
      </c>
      <c r="C868" s="30">
        <v>11</v>
      </c>
      <c r="D868" s="30" t="s">
        <v>212</v>
      </c>
      <c r="E868" s="30" t="s">
        <v>212</v>
      </c>
      <c r="F868" s="30" t="s">
        <v>212</v>
      </c>
    </row>
    <row r="869" spans="1:15" x14ac:dyDescent="0.35">
      <c r="A869" s="119">
        <v>46038</v>
      </c>
      <c r="B869" s="30" t="s">
        <v>10</v>
      </c>
      <c r="C869" s="30">
        <v>11</v>
      </c>
      <c r="D869" s="30" t="s">
        <v>212</v>
      </c>
      <c r="E869" s="30" t="s">
        <v>212</v>
      </c>
      <c r="F869" s="30" t="s">
        <v>212</v>
      </c>
    </row>
    <row r="870" spans="1:15" x14ac:dyDescent="0.35">
      <c r="A870" s="119">
        <v>46038</v>
      </c>
      <c r="B870" s="30" t="s">
        <v>11</v>
      </c>
      <c r="C870" s="30">
        <v>11</v>
      </c>
      <c r="D870" s="30" t="s">
        <v>212</v>
      </c>
      <c r="E870" s="30" t="s">
        <v>212</v>
      </c>
      <c r="F870" s="30" t="s">
        <v>212</v>
      </c>
    </row>
    <row r="871" spans="1:15" x14ac:dyDescent="0.35">
      <c r="A871" s="119">
        <v>46038</v>
      </c>
      <c r="B871" s="30" t="s">
        <v>21</v>
      </c>
      <c r="C871" s="30" t="s">
        <v>212</v>
      </c>
      <c r="D871" s="30" t="s">
        <v>212</v>
      </c>
      <c r="E871" s="30" t="s">
        <v>212</v>
      </c>
      <c r="F871" s="30">
        <v>1</v>
      </c>
    </row>
    <row r="872" spans="1:15" x14ac:dyDescent="0.35">
      <c r="A872" s="119">
        <v>46038</v>
      </c>
      <c r="B872" s="30" t="s">
        <v>22</v>
      </c>
      <c r="C872" s="30" t="s">
        <v>212</v>
      </c>
      <c r="D872" s="30" t="s">
        <v>212</v>
      </c>
      <c r="E872" s="30" t="s">
        <v>212</v>
      </c>
      <c r="F872" s="30">
        <v>1</v>
      </c>
    </row>
    <row r="873" spans="1:15" x14ac:dyDescent="0.35">
      <c r="A873" s="119">
        <v>46039</v>
      </c>
      <c r="B873" s="30" t="s">
        <v>13</v>
      </c>
      <c r="C873" s="30">
        <v>11.5</v>
      </c>
      <c r="D873" s="30">
        <v>0</v>
      </c>
      <c r="E873" s="30">
        <v>0</v>
      </c>
    </row>
    <row r="874" spans="1:15" x14ac:dyDescent="0.35">
      <c r="A874" s="119">
        <v>46039</v>
      </c>
      <c r="B874" s="30" t="s">
        <v>14</v>
      </c>
      <c r="C874" s="30">
        <v>11.5</v>
      </c>
      <c r="D874" s="30">
        <v>0</v>
      </c>
      <c r="E874" s="30">
        <v>0</v>
      </c>
    </row>
    <row r="875" spans="1:15" x14ac:dyDescent="0.35">
      <c r="A875" s="119">
        <v>46039</v>
      </c>
      <c r="B875" s="30" t="s">
        <v>15</v>
      </c>
      <c r="C875" s="30">
        <v>11.5</v>
      </c>
      <c r="D875" s="30">
        <v>0</v>
      </c>
      <c r="E875" s="30">
        <v>0</v>
      </c>
    </row>
    <row r="876" spans="1:15" x14ac:dyDescent="0.35">
      <c r="A876" s="119">
        <v>46039</v>
      </c>
      <c r="B876" s="30" t="s">
        <v>16</v>
      </c>
      <c r="C876" s="30">
        <v>11.5</v>
      </c>
      <c r="D876" s="30">
        <v>0</v>
      </c>
      <c r="E876" s="30">
        <v>0</v>
      </c>
    </row>
    <row r="877" spans="1:15" x14ac:dyDescent="0.35">
      <c r="A877" s="119">
        <v>46039</v>
      </c>
      <c r="B877" s="30" t="s">
        <v>17</v>
      </c>
      <c r="C877" s="30">
        <v>11.5</v>
      </c>
      <c r="D877" s="30">
        <v>0</v>
      </c>
      <c r="E877" s="30">
        <v>0</v>
      </c>
    </row>
    <row r="878" spans="1:15" x14ac:dyDescent="0.35">
      <c r="A878" s="119">
        <v>46039</v>
      </c>
      <c r="B878" s="30" t="s">
        <v>18</v>
      </c>
      <c r="C878" s="30">
        <v>11.5</v>
      </c>
      <c r="D878" s="30">
        <v>0</v>
      </c>
      <c r="E878" s="30">
        <v>0</v>
      </c>
    </row>
    <row r="879" spans="1:15" x14ac:dyDescent="0.35">
      <c r="A879" s="119">
        <v>46039</v>
      </c>
      <c r="B879" s="30" t="s">
        <v>20</v>
      </c>
      <c r="C879" s="30">
        <v>0</v>
      </c>
      <c r="D879" s="30">
        <v>0</v>
      </c>
      <c r="E879" s="30">
        <v>0</v>
      </c>
    </row>
    <row r="880" spans="1:15" x14ac:dyDescent="0.35">
      <c r="A880" s="119">
        <v>46039</v>
      </c>
      <c r="B880" s="30" t="s">
        <v>340</v>
      </c>
      <c r="C880" s="30">
        <v>11.5</v>
      </c>
      <c r="D880" s="30">
        <v>0</v>
      </c>
      <c r="E880" s="30">
        <v>0</v>
      </c>
    </row>
    <row r="881" spans="1:15" x14ac:dyDescent="0.35">
      <c r="A881" s="119">
        <v>46039</v>
      </c>
      <c r="B881" s="30" t="s">
        <v>4</v>
      </c>
      <c r="C881" s="30">
        <v>0</v>
      </c>
      <c r="D881" s="30">
        <v>0</v>
      </c>
      <c r="E881" s="30">
        <v>0</v>
      </c>
      <c r="F881" s="30">
        <v>0</v>
      </c>
      <c r="O881" s="30" t="s">
        <v>356</v>
      </c>
    </row>
    <row r="882" spans="1:15" x14ac:dyDescent="0.35">
      <c r="A882" s="119">
        <v>46039</v>
      </c>
      <c r="B882" s="30" t="s">
        <v>2</v>
      </c>
      <c r="C882" s="30">
        <v>3</v>
      </c>
      <c r="D882" s="30">
        <v>8</v>
      </c>
      <c r="E882" s="30">
        <v>0</v>
      </c>
      <c r="F882" s="30">
        <v>0</v>
      </c>
      <c r="O882" s="30" t="s">
        <v>342</v>
      </c>
    </row>
    <row r="883" spans="1:15" x14ac:dyDescent="0.35">
      <c r="A883" s="119">
        <v>46039</v>
      </c>
      <c r="B883" s="30" t="s">
        <v>3</v>
      </c>
      <c r="C883" s="30">
        <v>3</v>
      </c>
      <c r="D883" s="30">
        <v>8</v>
      </c>
      <c r="E883" s="30">
        <v>0</v>
      </c>
      <c r="F883" s="30">
        <v>0</v>
      </c>
      <c r="O883" s="30" t="s">
        <v>325</v>
      </c>
    </row>
    <row r="884" spans="1:15" x14ac:dyDescent="0.35">
      <c r="A884" s="119">
        <v>46039</v>
      </c>
      <c r="B884" s="30" t="s">
        <v>373</v>
      </c>
      <c r="C884" s="30">
        <v>1.5</v>
      </c>
      <c r="D884" s="30">
        <v>9.5</v>
      </c>
      <c r="E884" s="30">
        <v>0</v>
      </c>
      <c r="F884" s="30">
        <v>0</v>
      </c>
      <c r="O884" s="30" t="s">
        <v>353</v>
      </c>
    </row>
    <row r="885" spans="1:15" x14ac:dyDescent="0.35">
      <c r="A885" s="119">
        <v>46039</v>
      </c>
      <c r="B885" s="30" t="s">
        <v>246</v>
      </c>
      <c r="C885" s="30">
        <v>2.8000000000001819</v>
      </c>
      <c r="D885" s="30">
        <v>8.1999999999998181</v>
      </c>
      <c r="E885" s="30">
        <v>0</v>
      </c>
      <c r="F885" s="30">
        <v>0</v>
      </c>
      <c r="O885" s="30" t="s">
        <v>361</v>
      </c>
    </row>
    <row r="886" spans="1:15" x14ac:dyDescent="0.35">
      <c r="A886" s="119">
        <v>46039</v>
      </c>
      <c r="B886" s="30" t="s">
        <v>8</v>
      </c>
      <c r="C886" s="30">
        <v>2</v>
      </c>
      <c r="D886" s="30">
        <v>9</v>
      </c>
      <c r="E886" s="30">
        <v>0</v>
      </c>
      <c r="F886" s="30">
        <v>0</v>
      </c>
      <c r="O886" s="30" t="s">
        <v>362</v>
      </c>
    </row>
    <row r="887" spans="1:15" x14ac:dyDescent="0.35">
      <c r="A887" s="119">
        <v>46039</v>
      </c>
      <c r="B887" s="30" t="s">
        <v>7</v>
      </c>
      <c r="C887" s="30">
        <v>0</v>
      </c>
      <c r="D887" s="30">
        <v>11</v>
      </c>
      <c r="E887" s="30">
        <v>0</v>
      </c>
      <c r="F887" s="30">
        <v>0</v>
      </c>
      <c r="O887" s="30" t="s">
        <v>356</v>
      </c>
    </row>
    <row r="888" spans="1:15" x14ac:dyDescent="0.35">
      <c r="A888" s="119">
        <v>46039</v>
      </c>
      <c r="B888" s="30" t="s">
        <v>9</v>
      </c>
      <c r="C888" s="30">
        <v>11</v>
      </c>
      <c r="D888" s="30" t="s">
        <v>212</v>
      </c>
      <c r="E888" s="30" t="s">
        <v>212</v>
      </c>
      <c r="F888" s="30" t="s">
        <v>212</v>
      </c>
    </row>
    <row r="889" spans="1:15" x14ac:dyDescent="0.35">
      <c r="A889" s="119">
        <v>46039</v>
      </c>
      <c r="B889" s="30" t="s">
        <v>10</v>
      </c>
      <c r="C889" s="30">
        <v>11</v>
      </c>
      <c r="D889" s="30" t="s">
        <v>212</v>
      </c>
      <c r="E889" s="30" t="s">
        <v>212</v>
      </c>
      <c r="F889" s="30" t="s">
        <v>212</v>
      </c>
    </row>
    <row r="890" spans="1:15" x14ac:dyDescent="0.35">
      <c r="A890" s="119">
        <v>46039</v>
      </c>
      <c r="B890" s="30" t="s">
        <v>11</v>
      </c>
      <c r="C890" s="30">
        <v>11</v>
      </c>
      <c r="D890" s="30" t="s">
        <v>212</v>
      </c>
      <c r="E890" s="30" t="s">
        <v>212</v>
      </c>
      <c r="F890" s="30" t="s">
        <v>212</v>
      </c>
    </row>
    <row r="891" spans="1:15" x14ac:dyDescent="0.35">
      <c r="A891" s="119">
        <v>46039</v>
      </c>
      <c r="B891" s="30" t="s">
        <v>21</v>
      </c>
      <c r="C891" s="30" t="s">
        <v>212</v>
      </c>
      <c r="D891" s="30" t="s">
        <v>212</v>
      </c>
      <c r="E891" s="30" t="s">
        <v>212</v>
      </c>
      <c r="F891" s="30">
        <v>0</v>
      </c>
    </row>
    <row r="892" spans="1:15" x14ac:dyDescent="0.35">
      <c r="A892" s="119">
        <v>46039</v>
      </c>
      <c r="B892" s="30" t="s">
        <v>22</v>
      </c>
      <c r="C892" s="30" t="s">
        <v>212</v>
      </c>
      <c r="D892" s="30" t="s">
        <v>212</v>
      </c>
      <c r="E892" s="30" t="s">
        <v>212</v>
      </c>
      <c r="F892" s="30">
        <v>1</v>
      </c>
    </row>
    <row r="893" spans="1:15" x14ac:dyDescent="0.35">
      <c r="A893" s="119">
        <v>46040</v>
      </c>
      <c r="B893" s="30" t="s">
        <v>13</v>
      </c>
      <c r="C893" s="30">
        <v>10</v>
      </c>
      <c r="D893" s="30">
        <v>0</v>
      </c>
      <c r="E893" s="30">
        <v>0</v>
      </c>
    </row>
    <row r="894" spans="1:15" x14ac:dyDescent="0.35">
      <c r="A894" s="119">
        <v>46040</v>
      </c>
      <c r="B894" s="30" t="s">
        <v>14</v>
      </c>
      <c r="C894" s="30">
        <v>10</v>
      </c>
      <c r="D894" s="30">
        <v>0</v>
      </c>
      <c r="E894" s="30">
        <v>0</v>
      </c>
    </row>
    <row r="895" spans="1:15" x14ac:dyDescent="0.35">
      <c r="A895" s="119">
        <v>46040</v>
      </c>
      <c r="B895" s="30" t="s">
        <v>15</v>
      </c>
      <c r="C895" s="30">
        <v>10</v>
      </c>
      <c r="D895" s="30">
        <v>0</v>
      </c>
      <c r="E895" s="30">
        <v>0</v>
      </c>
    </row>
    <row r="896" spans="1:15" x14ac:dyDescent="0.35">
      <c r="A896" s="119">
        <v>46040</v>
      </c>
      <c r="B896" s="30" t="s">
        <v>16</v>
      </c>
      <c r="C896" s="30">
        <v>10</v>
      </c>
      <c r="D896" s="30">
        <v>0</v>
      </c>
      <c r="E896" s="30">
        <v>0</v>
      </c>
    </row>
    <row r="897" spans="1:15" x14ac:dyDescent="0.35">
      <c r="A897" s="119">
        <v>46040</v>
      </c>
      <c r="B897" s="30" t="s">
        <v>17</v>
      </c>
      <c r="C897" s="30">
        <v>0</v>
      </c>
      <c r="D897" s="30">
        <v>0</v>
      </c>
      <c r="E897" s="30">
        <v>0</v>
      </c>
    </row>
    <row r="898" spans="1:15" x14ac:dyDescent="0.35">
      <c r="A898" s="119">
        <v>46040</v>
      </c>
      <c r="B898" s="30" t="s">
        <v>18</v>
      </c>
      <c r="C898" s="30">
        <v>10</v>
      </c>
      <c r="D898" s="30">
        <v>0</v>
      </c>
      <c r="E898" s="30">
        <v>0</v>
      </c>
    </row>
    <row r="899" spans="1:15" x14ac:dyDescent="0.35">
      <c r="A899" s="119">
        <v>46040</v>
      </c>
      <c r="B899" s="30" t="s">
        <v>20</v>
      </c>
      <c r="C899" s="30">
        <v>0</v>
      </c>
      <c r="D899" s="30">
        <v>0</v>
      </c>
      <c r="E899" s="30">
        <v>0</v>
      </c>
    </row>
    <row r="900" spans="1:15" x14ac:dyDescent="0.35">
      <c r="A900" s="119">
        <v>46040</v>
      </c>
      <c r="B900" s="30" t="s">
        <v>340</v>
      </c>
      <c r="C900" s="30">
        <v>5</v>
      </c>
      <c r="D900" s="30">
        <v>0</v>
      </c>
      <c r="E900" s="30">
        <v>0</v>
      </c>
    </row>
    <row r="901" spans="1:15" x14ac:dyDescent="0.35">
      <c r="A901" s="119">
        <v>46040</v>
      </c>
      <c r="B901" s="30" t="s">
        <v>4</v>
      </c>
      <c r="C901" s="30">
        <v>0</v>
      </c>
      <c r="D901" s="30">
        <v>0</v>
      </c>
      <c r="E901" s="30">
        <v>0</v>
      </c>
      <c r="F901" s="30">
        <v>0</v>
      </c>
      <c r="O901" s="30" t="s">
        <v>356</v>
      </c>
    </row>
    <row r="902" spans="1:15" x14ac:dyDescent="0.35">
      <c r="A902" s="119">
        <v>46040</v>
      </c>
      <c r="B902" s="30" t="s">
        <v>2</v>
      </c>
      <c r="C902" s="30">
        <v>2</v>
      </c>
      <c r="D902" s="30">
        <v>9</v>
      </c>
      <c r="E902" s="30">
        <v>0</v>
      </c>
      <c r="F902" s="30">
        <v>0</v>
      </c>
      <c r="O902" s="30" t="s">
        <v>370</v>
      </c>
    </row>
    <row r="903" spans="1:15" x14ac:dyDescent="0.35">
      <c r="A903" s="119">
        <v>46040</v>
      </c>
      <c r="B903" s="30" t="s">
        <v>3</v>
      </c>
      <c r="C903" s="30">
        <v>2</v>
      </c>
      <c r="D903" s="30">
        <v>9</v>
      </c>
      <c r="E903" s="30">
        <v>0</v>
      </c>
      <c r="F903" s="30">
        <v>0</v>
      </c>
      <c r="O903" s="30" t="s">
        <v>371</v>
      </c>
    </row>
    <row r="904" spans="1:15" x14ac:dyDescent="0.35">
      <c r="A904" s="119">
        <v>46040</v>
      </c>
      <c r="B904" s="30" t="s">
        <v>373</v>
      </c>
      <c r="C904" s="30">
        <v>0</v>
      </c>
      <c r="D904" s="30">
        <v>11</v>
      </c>
      <c r="E904" s="30">
        <v>0</v>
      </c>
      <c r="F904" s="30">
        <v>0</v>
      </c>
      <c r="O904" s="30" t="s">
        <v>372</v>
      </c>
    </row>
    <row r="905" spans="1:15" x14ac:dyDescent="0.35">
      <c r="A905" s="119">
        <v>46040</v>
      </c>
      <c r="B905" s="30" t="s">
        <v>246</v>
      </c>
      <c r="C905" s="30">
        <v>2.1999999999998181</v>
      </c>
      <c r="D905" s="30">
        <v>8.8000000000001819</v>
      </c>
      <c r="E905" s="30">
        <v>0</v>
      </c>
      <c r="F905" s="30">
        <v>0</v>
      </c>
      <c r="O905" s="30" t="s">
        <v>361</v>
      </c>
    </row>
    <row r="906" spans="1:15" x14ac:dyDescent="0.35">
      <c r="A906" s="119">
        <v>46040</v>
      </c>
      <c r="B906" s="30" t="s">
        <v>8</v>
      </c>
      <c r="C906" s="30">
        <v>0</v>
      </c>
      <c r="D906" s="30">
        <v>11</v>
      </c>
      <c r="E906" s="30">
        <v>0</v>
      </c>
      <c r="F906" s="30">
        <v>0</v>
      </c>
      <c r="O906" s="30" t="s">
        <v>356</v>
      </c>
    </row>
    <row r="907" spans="1:15" x14ac:dyDescent="0.35">
      <c r="A907" s="119">
        <v>46040</v>
      </c>
      <c r="B907" s="30" t="s">
        <v>7</v>
      </c>
      <c r="C907" s="30">
        <v>0</v>
      </c>
      <c r="D907" s="30">
        <v>11</v>
      </c>
      <c r="E907" s="30">
        <v>0</v>
      </c>
      <c r="F907" s="30">
        <v>0</v>
      </c>
      <c r="O907" s="30" t="s">
        <v>356</v>
      </c>
    </row>
    <row r="908" spans="1:15" x14ac:dyDescent="0.35">
      <c r="A908" s="119">
        <v>46040</v>
      </c>
      <c r="B908" s="30" t="s">
        <v>9</v>
      </c>
      <c r="C908" s="30">
        <v>11</v>
      </c>
      <c r="D908" s="30" t="s">
        <v>212</v>
      </c>
      <c r="E908" s="30" t="s">
        <v>212</v>
      </c>
      <c r="F908" s="30" t="s">
        <v>212</v>
      </c>
    </row>
    <row r="909" spans="1:15" x14ac:dyDescent="0.35">
      <c r="A909" s="119">
        <v>46040</v>
      </c>
      <c r="B909" s="30" t="s">
        <v>10</v>
      </c>
      <c r="C909" s="30">
        <v>11</v>
      </c>
      <c r="D909" s="30" t="s">
        <v>212</v>
      </c>
      <c r="E909" s="30" t="s">
        <v>212</v>
      </c>
      <c r="F909" s="30" t="s">
        <v>212</v>
      </c>
    </row>
    <row r="910" spans="1:15" x14ac:dyDescent="0.35">
      <c r="A910" s="119">
        <v>46040</v>
      </c>
      <c r="B910" s="30" t="s">
        <v>11</v>
      </c>
      <c r="C910" s="30">
        <v>11</v>
      </c>
      <c r="D910" s="30" t="s">
        <v>212</v>
      </c>
      <c r="E910" s="30" t="s">
        <v>212</v>
      </c>
      <c r="F910" s="30" t="s">
        <v>212</v>
      </c>
    </row>
    <row r="911" spans="1:15" x14ac:dyDescent="0.35">
      <c r="A911" s="119">
        <v>46040</v>
      </c>
      <c r="B911" s="30" t="s">
        <v>21</v>
      </c>
      <c r="C911" s="30" t="s">
        <v>212</v>
      </c>
      <c r="D911" s="30" t="s">
        <v>212</v>
      </c>
      <c r="E911" s="30" t="s">
        <v>212</v>
      </c>
      <c r="F911" s="30">
        <v>0</v>
      </c>
    </row>
    <row r="912" spans="1:15" x14ac:dyDescent="0.35">
      <c r="A912" s="119">
        <v>46040</v>
      </c>
      <c r="B912" s="30" t="s">
        <v>22</v>
      </c>
      <c r="C912" s="30" t="s">
        <v>212</v>
      </c>
      <c r="D912" s="30" t="s">
        <v>212</v>
      </c>
      <c r="E912" s="30" t="s">
        <v>212</v>
      </c>
      <c r="F912" s="30">
        <v>1</v>
      </c>
    </row>
  </sheetData>
  <autoFilter ref="A1:P526" xr:uid="{00000000-0001-0000-0100-000000000000}"/>
  <sortState xmlns:xlrd2="http://schemas.microsoft.com/office/spreadsheetml/2017/richdata2" ref="A2:P18">
    <sortCondition ref="A2:A18"/>
    <sortCondition ref="B2:B18"/>
  </sortState>
  <dataValidations count="1">
    <dataValidation type="list" allowBlank="1" showInputMessage="1" showErrorMessage="1" sqref="F22:F32 G2:O52 G70:O10011" xr:uid="{00000000-0002-0000-0100-000000000000}">
      <formula1>"0,1"</formula1>
    </dataValidation>
  </dataValidations>
  <printOptions horizontalCentered="1"/>
  <pageMargins left="0.75" right="0.75" top="1" bottom="1" header="0.5" footer="0.5"/>
  <pageSetup scal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aveAndSend_Dayworks">
                <anchor>
                  <from>
                    <xdr:col>12</xdr:col>
                    <xdr:colOff>704850</xdr:colOff>
                    <xdr:row>2</xdr:row>
                    <xdr:rowOff>0</xdr:rowOff>
                  </from>
                  <to>
                    <xdr:col>14</xdr:col>
                    <xdr:colOff>419100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ACFF78-8B27-4CE2-8963-DEC676C4DE12}">
          <x14:formula1>
            <xm:f>Config!$A$2:$A$22</xm:f>
          </x14:formula1>
          <xm:sqref>B70:B1048576 B1:B52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4"/>
  <sheetViews>
    <sheetView workbookViewId="0">
      <selection activeCell="A7" sqref="A7"/>
    </sheetView>
  </sheetViews>
  <sheetFormatPr defaultRowHeight="14.5" x14ac:dyDescent="0.35"/>
  <cols>
    <col min="1" max="1" width="36" customWidth="1"/>
    <col min="2" max="6" width="16" customWidth="1"/>
    <col min="7" max="10" width="14" customWidth="1"/>
    <col min="11" max="12" width="18" customWidth="1"/>
    <col min="13" max="13" width="14" customWidth="1"/>
    <col min="14" max="14" width="16" customWidth="1"/>
    <col min="15" max="15" width="8" customWidth="1"/>
  </cols>
  <sheetData>
    <row r="1" spans="1:15" x14ac:dyDescent="0.35">
      <c r="A1" s="1" t="s">
        <v>0</v>
      </c>
      <c r="B1" s="1" t="s">
        <v>39</v>
      </c>
      <c r="C1" s="3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207</v>
      </c>
      <c r="L1" s="1" t="s">
        <v>208</v>
      </c>
      <c r="M1" s="1" t="s">
        <v>49</v>
      </c>
      <c r="N1" s="1" t="s">
        <v>50</v>
      </c>
      <c r="O1" s="1" t="s">
        <v>51</v>
      </c>
    </row>
    <row r="2" spans="1:15" x14ac:dyDescent="0.35">
      <c r="A2" t="s">
        <v>2</v>
      </c>
      <c r="B2" s="4">
        <v>139.15</v>
      </c>
      <c r="E2" s="4">
        <v>83.6</v>
      </c>
      <c r="F2" s="4">
        <v>22584.65</v>
      </c>
      <c r="G2" s="4">
        <v>6790.85</v>
      </c>
      <c r="H2" s="4">
        <v>6790.85</v>
      </c>
      <c r="I2" s="4">
        <v>48809.2</v>
      </c>
      <c r="J2" s="4">
        <v>48809.2</v>
      </c>
      <c r="K2" s="4"/>
      <c r="L2" s="4"/>
      <c r="O2">
        <v>10</v>
      </c>
    </row>
    <row r="3" spans="1:15" x14ac:dyDescent="0.35">
      <c r="A3" t="s">
        <v>3</v>
      </c>
      <c r="B3" s="4">
        <v>168.3</v>
      </c>
      <c r="E3" s="4">
        <v>101.2</v>
      </c>
      <c r="F3" s="4">
        <v>26039.75</v>
      </c>
      <c r="G3" s="4">
        <v>8044.85</v>
      </c>
      <c r="H3" s="4">
        <v>8044.85</v>
      </c>
      <c r="I3" s="4">
        <v>52336.9</v>
      </c>
      <c r="J3" s="4">
        <v>52336.9</v>
      </c>
      <c r="K3" s="4"/>
      <c r="L3" s="4"/>
      <c r="O3">
        <v>10</v>
      </c>
    </row>
    <row r="4" spans="1:15" x14ac:dyDescent="0.35">
      <c r="A4" t="s">
        <v>4</v>
      </c>
      <c r="B4" s="4">
        <v>255.75</v>
      </c>
      <c r="E4" s="4">
        <v>153.44999999999999</v>
      </c>
      <c r="F4" s="4">
        <v>8505.75</v>
      </c>
      <c r="G4" s="4">
        <v>13294.6</v>
      </c>
      <c r="H4" s="4">
        <v>13294.6</v>
      </c>
      <c r="I4" s="4">
        <v>39006.550000000003</v>
      </c>
      <c r="J4" s="4">
        <v>39006.550000000003</v>
      </c>
      <c r="K4" s="4"/>
      <c r="L4" s="4"/>
      <c r="O4">
        <v>10</v>
      </c>
    </row>
    <row r="5" spans="1:15" x14ac:dyDescent="0.35">
      <c r="A5" t="s">
        <v>246</v>
      </c>
      <c r="B5" s="4">
        <v>179.3</v>
      </c>
      <c r="E5" s="4">
        <v>107.8</v>
      </c>
      <c r="F5" s="4">
        <v>8505.75</v>
      </c>
      <c r="G5" s="4">
        <v>10552.3</v>
      </c>
      <c r="H5" s="4">
        <v>10552.3</v>
      </c>
      <c r="I5" s="4">
        <v>25306.05</v>
      </c>
      <c r="J5" s="4">
        <v>25306.05</v>
      </c>
      <c r="K5" s="4"/>
      <c r="L5" s="4"/>
      <c r="O5">
        <v>10</v>
      </c>
    </row>
    <row r="6" spans="1:15" x14ac:dyDescent="0.35">
      <c r="A6" t="s">
        <v>248</v>
      </c>
      <c r="B6" s="4">
        <v>179.3</v>
      </c>
      <c r="E6" s="4">
        <v>107.8</v>
      </c>
      <c r="F6" s="4">
        <v>8505.75</v>
      </c>
      <c r="G6" s="4">
        <v>10552.3</v>
      </c>
      <c r="H6" s="4">
        <v>10552.3</v>
      </c>
      <c r="I6" s="4">
        <v>25306.05</v>
      </c>
      <c r="J6" s="4">
        <v>25306.05</v>
      </c>
      <c r="K6" s="4"/>
      <c r="L6" s="4"/>
      <c r="O6">
        <v>10</v>
      </c>
    </row>
    <row r="7" spans="1:15" x14ac:dyDescent="0.35">
      <c r="A7" t="s">
        <v>7</v>
      </c>
      <c r="B7" s="4">
        <v>173.8</v>
      </c>
      <c r="E7" s="4">
        <v>104.5</v>
      </c>
      <c r="F7" s="4">
        <v>13297.9</v>
      </c>
      <c r="G7" s="4">
        <v>6386.05</v>
      </c>
      <c r="H7" s="4">
        <v>6386.05</v>
      </c>
      <c r="I7" s="4">
        <v>22669.35</v>
      </c>
      <c r="J7" s="4">
        <v>22669.35</v>
      </c>
      <c r="K7" s="4"/>
      <c r="L7" s="4"/>
      <c r="O7">
        <v>10</v>
      </c>
    </row>
    <row r="8" spans="1:15" x14ac:dyDescent="0.35">
      <c r="A8" t="s">
        <v>8</v>
      </c>
      <c r="B8" s="4">
        <v>112.75</v>
      </c>
      <c r="E8" s="4">
        <v>67.650000000000006</v>
      </c>
      <c r="F8" s="4">
        <v>5988.95</v>
      </c>
      <c r="G8" s="4">
        <v>4819.1000000000004</v>
      </c>
      <c r="H8" s="4">
        <v>4819.1000000000004</v>
      </c>
      <c r="I8" s="4">
        <v>21885.599999999999</v>
      </c>
      <c r="J8" s="4">
        <v>21885.599999999999</v>
      </c>
      <c r="K8" s="4"/>
      <c r="L8" s="4"/>
      <c r="M8" s="4">
        <v>0</v>
      </c>
      <c r="N8" s="4">
        <v>0</v>
      </c>
      <c r="O8">
        <v>10</v>
      </c>
    </row>
    <row r="9" spans="1:15" x14ac:dyDescent="0.35">
      <c r="A9" t="s">
        <v>9</v>
      </c>
      <c r="B9" s="4">
        <v>29.15</v>
      </c>
      <c r="E9" s="4">
        <v>17.600000000000001</v>
      </c>
      <c r="F9" s="4">
        <v>4601.3</v>
      </c>
      <c r="G9" s="4">
        <v>1684.65</v>
      </c>
      <c r="H9" s="4">
        <v>1684.65</v>
      </c>
      <c r="I9" s="4">
        <v>5223.25</v>
      </c>
      <c r="J9" s="4">
        <v>5223.25</v>
      </c>
      <c r="K9" s="4"/>
      <c r="L9" s="4"/>
      <c r="M9" s="4">
        <v>0</v>
      </c>
      <c r="N9" s="4">
        <v>0</v>
      </c>
      <c r="O9">
        <v>10</v>
      </c>
    </row>
    <row r="10" spans="1:15" x14ac:dyDescent="0.35">
      <c r="A10" t="s">
        <v>10</v>
      </c>
      <c r="B10" s="4">
        <v>29.15</v>
      </c>
      <c r="E10" s="4">
        <v>17.600000000000001</v>
      </c>
      <c r="F10" s="4">
        <v>4601.3</v>
      </c>
      <c r="G10" s="4">
        <v>1684.65</v>
      </c>
      <c r="H10" s="4">
        <v>1684.65</v>
      </c>
      <c r="I10" s="4">
        <v>5223.25</v>
      </c>
      <c r="J10" s="4">
        <v>5223.25</v>
      </c>
      <c r="K10" s="4"/>
      <c r="L10" s="4"/>
      <c r="M10" s="4">
        <v>0</v>
      </c>
      <c r="N10" s="4">
        <v>0</v>
      </c>
      <c r="O10">
        <v>10</v>
      </c>
    </row>
    <row r="11" spans="1:15" x14ac:dyDescent="0.35">
      <c r="A11" t="s">
        <v>11</v>
      </c>
      <c r="B11" s="4">
        <v>29.15</v>
      </c>
      <c r="E11" s="4">
        <v>17.600000000000001</v>
      </c>
      <c r="F11" s="4">
        <v>4601.3</v>
      </c>
      <c r="G11" s="4">
        <v>1684.65</v>
      </c>
      <c r="O11">
        <v>10</v>
      </c>
    </row>
    <row r="12" spans="1:15" x14ac:dyDescent="0.35">
      <c r="A12" t="s">
        <v>12</v>
      </c>
      <c r="B12" s="4">
        <v>29.15</v>
      </c>
      <c r="E12" s="4">
        <v>17.600000000000001</v>
      </c>
      <c r="O12">
        <v>10</v>
      </c>
    </row>
    <row r="13" spans="1:15" x14ac:dyDescent="0.35">
      <c r="A13" t="s">
        <v>13</v>
      </c>
      <c r="D13" s="4">
        <v>115.5</v>
      </c>
      <c r="E13" s="4">
        <v>115.5</v>
      </c>
      <c r="K13" s="4">
        <v>1750.65</v>
      </c>
      <c r="L13" s="4">
        <v>462</v>
      </c>
      <c r="M13" s="4">
        <v>577.5</v>
      </c>
      <c r="N13" s="4">
        <v>345.4</v>
      </c>
      <c r="O13">
        <v>10</v>
      </c>
    </row>
    <row r="14" spans="1:15" x14ac:dyDescent="0.35">
      <c r="A14" t="s">
        <v>14</v>
      </c>
      <c r="D14" s="4">
        <v>115.5</v>
      </c>
      <c r="E14" s="4">
        <v>115.5</v>
      </c>
      <c r="K14" s="4">
        <v>1750.65</v>
      </c>
      <c r="L14" s="4">
        <v>462</v>
      </c>
      <c r="M14" s="4">
        <v>577.5</v>
      </c>
      <c r="N14" s="4">
        <v>345.4</v>
      </c>
      <c r="O14">
        <v>10</v>
      </c>
    </row>
    <row r="15" spans="1:15" x14ac:dyDescent="0.35">
      <c r="A15" t="s">
        <v>15</v>
      </c>
      <c r="D15" s="4">
        <v>115.5</v>
      </c>
      <c r="E15" s="4">
        <v>115.5</v>
      </c>
      <c r="K15" s="4">
        <v>1750.65</v>
      </c>
      <c r="L15" s="4">
        <v>462</v>
      </c>
      <c r="M15" s="4">
        <v>577.5</v>
      </c>
      <c r="N15" s="4">
        <v>345.4</v>
      </c>
      <c r="O15">
        <v>10</v>
      </c>
    </row>
    <row r="16" spans="1:15" x14ac:dyDescent="0.35">
      <c r="A16" t="s">
        <v>16</v>
      </c>
      <c r="D16" s="4">
        <v>115.5</v>
      </c>
      <c r="E16" s="4">
        <v>115.5</v>
      </c>
      <c r="K16" s="4">
        <v>1750.65</v>
      </c>
      <c r="L16" s="4">
        <v>462</v>
      </c>
      <c r="M16" s="4">
        <v>577.5</v>
      </c>
      <c r="N16" s="4">
        <v>345.4</v>
      </c>
      <c r="O16">
        <v>10</v>
      </c>
    </row>
    <row r="17" spans="1:15" x14ac:dyDescent="0.35">
      <c r="A17" t="s">
        <v>17</v>
      </c>
      <c r="D17" s="4">
        <v>115.5</v>
      </c>
      <c r="E17" s="4">
        <v>115.5</v>
      </c>
      <c r="K17" s="4">
        <v>1750.65</v>
      </c>
      <c r="L17" s="4">
        <v>462</v>
      </c>
      <c r="M17" s="4">
        <v>577.5</v>
      </c>
      <c r="N17" s="4">
        <v>345.4</v>
      </c>
      <c r="O17">
        <v>10</v>
      </c>
    </row>
    <row r="18" spans="1:15" x14ac:dyDescent="0.35">
      <c r="A18" t="s">
        <v>18</v>
      </c>
      <c r="D18" s="4">
        <v>115.5</v>
      </c>
      <c r="E18" s="4">
        <v>115.5</v>
      </c>
      <c r="K18" s="4">
        <v>1750.65</v>
      </c>
      <c r="L18" s="4">
        <v>462</v>
      </c>
      <c r="M18" s="4">
        <v>577.5</v>
      </c>
      <c r="N18" s="4">
        <v>345.4</v>
      </c>
      <c r="O18">
        <v>10</v>
      </c>
    </row>
    <row r="19" spans="1:15" x14ac:dyDescent="0.35">
      <c r="A19" t="s">
        <v>19</v>
      </c>
      <c r="D19" s="4">
        <v>115.5</v>
      </c>
      <c r="E19">
        <v>0</v>
      </c>
      <c r="K19" s="4"/>
      <c r="L19" s="4"/>
      <c r="M19" s="4"/>
      <c r="N19" s="4"/>
      <c r="O19">
        <v>10</v>
      </c>
    </row>
    <row r="20" spans="1:15" x14ac:dyDescent="0.35">
      <c r="A20" t="s">
        <v>20</v>
      </c>
      <c r="D20" s="4">
        <v>142</v>
      </c>
      <c r="E20" s="4">
        <v>142</v>
      </c>
      <c r="K20" s="4">
        <v>1750.65</v>
      </c>
      <c r="L20" s="4">
        <v>568</v>
      </c>
      <c r="M20" s="4">
        <v>577.5</v>
      </c>
      <c r="N20" s="4">
        <v>345.4</v>
      </c>
      <c r="O20">
        <v>10</v>
      </c>
    </row>
    <row r="21" spans="1:15" x14ac:dyDescent="0.35">
      <c r="A21" s="2" t="s">
        <v>21</v>
      </c>
      <c r="C21" s="4">
        <v>312.39999999999998</v>
      </c>
      <c r="O21">
        <v>10</v>
      </c>
    </row>
    <row r="22" spans="1:15" x14ac:dyDescent="0.35">
      <c r="A22" s="2" t="s">
        <v>22</v>
      </c>
      <c r="C22" s="4">
        <v>187</v>
      </c>
      <c r="O22">
        <v>10</v>
      </c>
    </row>
    <row r="23" spans="1:15" x14ac:dyDescent="0.35">
      <c r="A23" s="2" t="str">
        <f>'Site Instructions &amp; Variations'!B2</f>
        <v>Wallaby Beach Accommodation</v>
      </c>
      <c r="C23" s="4">
        <f>'Site Instructions &amp; Variations'!D2</f>
        <v>0</v>
      </c>
      <c r="O23">
        <v>10</v>
      </c>
    </row>
    <row r="24" spans="1:15" x14ac:dyDescent="0.35">
      <c r="A24" t="s">
        <v>23</v>
      </c>
      <c r="C24" s="4">
        <f>'Site Instructions &amp; Variations'!D3</f>
        <v>0</v>
      </c>
      <c r="O24">
        <v>10</v>
      </c>
    </row>
  </sheetData>
  <phoneticPr fontId="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AndSend_Dayworks">
                <anchor>
                  <from>
                    <xdr:col>12</xdr:col>
                    <xdr:colOff>838200</xdr:colOff>
                    <xdr:row>2</xdr:row>
                    <xdr:rowOff>0</xdr:rowOff>
                  </from>
                  <to>
                    <xdr:col>14</xdr:col>
                    <xdr:colOff>139700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6"/>
  <sheetViews>
    <sheetView workbookViewId="0">
      <selection activeCell="A8" sqref="A8"/>
    </sheetView>
  </sheetViews>
  <sheetFormatPr defaultRowHeight="14.5" x14ac:dyDescent="0.35"/>
  <cols>
    <col min="1" max="1" width="36" customWidth="1"/>
    <col min="2" max="5" width="16" customWidth="1"/>
    <col min="6" max="9" width="14" customWidth="1"/>
    <col min="10" max="10" width="18" customWidth="1"/>
    <col min="11" max="11" width="14" customWidth="1"/>
    <col min="12" max="12" width="16" customWidth="1"/>
    <col min="13" max="13" width="8" customWidth="1"/>
  </cols>
  <sheetData>
    <row r="1" spans="1:13" x14ac:dyDescent="0.35">
      <c r="A1" s="1" t="s">
        <v>0</v>
      </c>
      <c r="B1" s="1" t="s">
        <v>39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3" x14ac:dyDescent="0.35">
      <c r="A2" t="s">
        <v>2</v>
      </c>
      <c r="B2" s="4">
        <v>126.5</v>
      </c>
      <c r="C2" s="4"/>
      <c r="D2" s="4">
        <v>76</v>
      </c>
      <c r="E2" s="4">
        <v>20531.5</v>
      </c>
      <c r="F2" s="4">
        <v>6173.5</v>
      </c>
      <c r="G2" s="4">
        <v>6173.5</v>
      </c>
      <c r="H2" s="4">
        <v>44372</v>
      </c>
      <c r="I2" s="4">
        <v>44372</v>
      </c>
      <c r="M2">
        <v>10</v>
      </c>
    </row>
    <row r="3" spans="1:13" x14ac:dyDescent="0.35">
      <c r="A3" t="s">
        <v>3</v>
      </c>
      <c r="B3" s="4">
        <v>153</v>
      </c>
      <c r="C3" s="4"/>
      <c r="D3" s="4">
        <v>92</v>
      </c>
      <c r="E3" s="4">
        <v>23672.5</v>
      </c>
      <c r="F3" s="4">
        <v>7313.5</v>
      </c>
      <c r="G3" s="4">
        <v>7313.5</v>
      </c>
      <c r="H3" s="4">
        <v>47579</v>
      </c>
      <c r="I3" s="4">
        <v>47579</v>
      </c>
      <c r="M3">
        <v>10</v>
      </c>
    </row>
    <row r="4" spans="1:13" x14ac:dyDescent="0.35">
      <c r="A4" t="s">
        <v>4</v>
      </c>
      <c r="B4" s="4">
        <v>232.5</v>
      </c>
      <c r="C4" s="4"/>
      <c r="D4" s="4">
        <v>139.5</v>
      </c>
      <c r="E4" s="4">
        <v>7732.5</v>
      </c>
      <c r="F4" s="4">
        <v>12086</v>
      </c>
      <c r="G4" s="4">
        <v>12086</v>
      </c>
      <c r="H4" s="4">
        <v>35460.5</v>
      </c>
      <c r="I4" s="4">
        <v>35460.5</v>
      </c>
      <c r="M4">
        <v>10</v>
      </c>
    </row>
    <row r="5" spans="1:13" x14ac:dyDescent="0.35">
      <c r="A5" t="s">
        <v>5</v>
      </c>
      <c r="B5" s="4">
        <v>163</v>
      </c>
      <c r="C5" s="4"/>
      <c r="D5" s="4">
        <v>98</v>
      </c>
      <c r="E5" s="4">
        <v>7732.5</v>
      </c>
      <c r="F5" s="4">
        <v>9593</v>
      </c>
      <c r="G5" s="4">
        <v>9593</v>
      </c>
      <c r="H5" s="4">
        <v>23005.5</v>
      </c>
      <c r="I5" s="4">
        <v>23005.5</v>
      </c>
      <c r="M5">
        <v>10</v>
      </c>
    </row>
    <row r="6" spans="1:13" x14ac:dyDescent="0.35">
      <c r="A6" t="s">
        <v>6</v>
      </c>
      <c r="B6" s="4">
        <v>163</v>
      </c>
      <c r="C6" s="4"/>
      <c r="D6" s="4">
        <v>98</v>
      </c>
      <c r="E6" s="4">
        <v>7732.5</v>
      </c>
      <c r="F6" s="4">
        <v>9593</v>
      </c>
      <c r="G6" s="4">
        <v>9593</v>
      </c>
      <c r="H6" s="4">
        <v>23005.5</v>
      </c>
      <c r="I6" s="4">
        <v>23005.5</v>
      </c>
      <c r="M6">
        <v>10</v>
      </c>
    </row>
    <row r="7" spans="1:13" x14ac:dyDescent="0.35">
      <c r="A7" t="s">
        <v>7</v>
      </c>
      <c r="B7" s="4">
        <v>158</v>
      </c>
      <c r="C7" s="4"/>
      <c r="D7" s="4">
        <v>95</v>
      </c>
      <c r="E7" s="4">
        <v>12089</v>
      </c>
      <c r="F7" s="4">
        <v>5805.5</v>
      </c>
      <c r="G7" s="4">
        <v>5805.5</v>
      </c>
      <c r="H7" s="4">
        <v>20608.5</v>
      </c>
      <c r="I7" s="4">
        <v>20608.5</v>
      </c>
      <c r="M7">
        <v>10</v>
      </c>
    </row>
    <row r="8" spans="1:13" x14ac:dyDescent="0.35">
      <c r="A8" t="s">
        <v>8</v>
      </c>
      <c r="B8" s="4">
        <v>102.5</v>
      </c>
      <c r="C8" s="4"/>
      <c r="D8" s="4">
        <v>61.5</v>
      </c>
      <c r="E8" s="4">
        <v>5444.5</v>
      </c>
      <c r="F8" s="4">
        <v>4381</v>
      </c>
      <c r="G8" s="4">
        <v>4381</v>
      </c>
      <c r="H8" s="4">
        <v>19896</v>
      </c>
      <c r="I8" s="4">
        <v>19896</v>
      </c>
      <c r="J8" s="4">
        <v>0</v>
      </c>
      <c r="K8" s="4">
        <v>0</v>
      </c>
      <c r="L8" s="4">
        <v>0</v>
      </c>
      <c r="M8">
        <v>10</v>
      </c>
    </row>
    <row r="9" spans="1:13" x14ac:dyDescent="0.35">
      <c r="A9" t="s">
        <v>9</v>
      </c>
      <c r="B9" s="4">
        <v>26.5</v>
      </c>
      <c r="C9" s="4"/>
      <c r="D9" s="4">
        <v>16</v>
      </c>
      <c r="E9" s="4">
        <v>4183</v>
      </c>
      <c r="F9" s="4">
        <v>1531.5</v>
      </c>
      <c r="G9" s="4">
        <v>1531.5</v>
      </c>
      <c r="H9" s="4">
        <v>4757.5</v>
      </c>
      <c r="I9" s="4">
        <v>4757.5</v>
      </c>
      <c r="J9" s="4">
        <v>0</v>
      </c>
      <c r="K9" s="4">
        <v>0</v>
      </c>
      <c r="L9" s="4">
        <v>0</v>
      </c>
      <c r="M9">
        <v>10</v>
      </c>
    </row>
    <row r="10" spans="1:13" x14ac:dyDescent="0.35">
      <c r="A10" t="s">
        <v>10</v>
      </c>
      <c r="B10" s="4">
        <v>26.5</v>
      </c>
      <c r="C10" s="4"/>
      <c r="D10" s="4">
        <v>16</v>
      </c>
      <c r="E10" s="4">
        <v>4183</v>
      </c>
      <c r="F10" s="4">
        <v>1531.5</v>
      </c>
      <c r="G10" s="4">
        <v>1531.5</v>
      </c>
      <c r="H10" s="4">
        <v>4757.5</v>
      </c>
      <c r="I10" s="4">
        <v>4757.5</v>
      </c>
      <c r="J10" s="4"/>
      <c r="K10" s="4"/>
      <c r="L10" s="4"/>
      <c r="M10">
        <v>10</v>
      </c>
    </row>
    <row r="11" spans="1:13" x14ac:dyDescent="0.35">
      <c r="A11" t="s">
        <v>13</v>
      </c>
      <c r="C11" s="4">
        <v>105</v>
      </c>
      <c r="D11" s="4">
        <v>105</v>
      </c>
      <c r="J11" s="4">
        <v>1591.5</v>
      </c>
      <c r="K11" s="4">
        <v>523</v>
      </c>
      <c r="L11" s="4">
        <v>314</v>
      </c>
      <c r="M11">
        <v>10</v>
      </c>
    </row>
    <row r="12" spans="1:13" x14ac:dyDescent="0.35">
      <c r="A12" t="s">
        <v>14</v>
      </c>
      <c r="C12" s="4">
        <v>105</v>
      </c>
      <c r="D12" s="4">
        <v>105</v>
      </c>
      <c r="J12" s="4">
        <v>1591.5</v>
      </c>
      <c r="K12" s="4">
        <v>523</v>
      </c>
      <c r="L12" s="4">
        <v>314</v>
      </c>
      <c r="M12">
        <v>10</v>
      </c>
    </row>
    <row r="13" spans="1:13" x14ac:dyDescent="0.35">
      <c r="A13" t="s">
        <v>15</v>
      </c>
      <c r="C13" s="4">
        <v>105</v>
      </c>
      <c r="D13" s="4">
        <v>105</v>
      </c>
      <c r="J13" s="4">
        <v>1591.5</v>
      </c>
      <c r="K13" s="4">
        <v>523</v>
      </c>
      <c r="L13" s="4">
        <v>314</v>
      </c>
      <c r="M13">
        <v>10</v>
      </c>
    </row>
    <row r="14" spans="1:13" x14ac:dyDescent="0.35">
      <c r="A14" t="s">
        <v>16</v>
      </c>
      <c r="C14" s="4">
        <v>105</v>
      </c>
      <c r="D14" s="4">
        <v>105</v>
      </c>
      <c r="J14" s="4">
        <v>1591.5</v>
      </c>
      <c r="K14" s="4">
        <v>523</v>
      </c>
      <c r="L14" s="4">
        <v>314</v>
      </c>
      <c r="M14">
        <v>10</v>
      </c>
    </row>
    <row r="15" spans="1:13" x14ac:dyDescent="0.35">
      <c r="A15" t="s">
        <v>17</v>
      </c>
      <c r="C15" s="4">
        <v>105</v>
      </c>
      <c r="D15" s="4">
        <v>105</v>
      </c>
      <c r="J15" s="4">
        <v>1591.5</v>
      </c>
      <c r="K15" s="4">
        <v>523</v>
      </c>
      <c r="L15" s="4">
        <v>314</v>
      </c>
      <c r="M15">
        <v>10</v>
      </c>
    </row>
    <row r="16" spans="1:13" x14ac:dyDescent="0.35">
      <c r="A16" t="s">
        <v>18</v>
      </c>
      <c r="C16" s="4">
        <v>105</v>
      </c>
      <c r="D16" s="4">
        <v>105</v>
      </c>
      <c r="J16" s="4">
        <v>1591.5</v>
      </c>
      <c r="K16" s="4">
        <v>523</v>
      </c>
      <c r="L16" s="4">
        <v>314</v>
      </c>
      <c r="M16">
        <v>10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AndSend_Dayworks">
                <anchor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15</xdr:col>
                    <xdr:colOff>177800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C34"/>
  <sheetViews>
    <sheetView zoomScale="80" zoomScaleNormal="80" workbookViewId="0">
      <selection activeCell="B4" sqref="B4"/>
    </sheetView>
  </sheetViews>
  <sheetFormatPr defaultRowHeight="14.5" x14ac:dyDescent="0.35"/>
  <cols>
    <col min="1" max="1" width="36" customWidth="1"/>
    <col min="2" max="4" width="14" customWidth="1"/>
    <col min="5" max="5" width="12" customWidth="1"/>
    <col min="6" max="6" width="9.81640625" bestFit="1" customWidth="1"/>
    <col min="7" max="7" width="17.81640625" bestFit="1" customWidth="1"/>
    <col min="8" max="8" width="13.08984375" bestFit="1" customWidth="1"/>
    <col min="9" max="9" width="12.1796875" bestFit="1" customWidth="1"/>
    <col min="10" max="10" width="16" customWidth="1"/>
    <col min="11" max="11" width="32" bestFit="1" customWidth="1"/>
    <col min="12" max="12" width="14" customWidth="1"/>
    <col min="13" max="19" width="12" customWidth="1"/>
    <col min="20" max="20" width="16" customWidth="1"/>
    <col min="21" max="25" width="18" customWidth="1"/>
    <col min="27" max="29" width="12.1796875" bestFit="1" customWidth="1"/>
  </cols>
  <sheetData>
    <row r="1" spans="1:25" ht="21" customHeight="1" x14ac:dyDescent="0.5">
      <c r="A1" s="19" t="s">
        <v>52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</row>
    <row r="2" spans="1:25" x14ac:dyDescent="0.35">
      <c r="A2" s="5"/>
    </row>
    <row r="3" spans="1:25" x14ac:dyDescent="0.35">
      <c r="A3" s="5" t="s">
        <v>53</v>
      </c>
      <c r="B3" s="22">
        <v>45998</v>
      </c>
      <c r="K3" s="23" t="s">
        <v>54</v>
      </c>
      <c r="L3">
        <v>200</v>
      </c>
    </row>
    <row r="4" spans="1:25" x14ac:dyDescent="0.35">
      <c r="A4" s="5" t="s">
        <v>55</v>
      </c>
      <c r="B4" s="21">
        <v>46039</v>
      </c>
    </row>
    <row r="5" spans="1:25" x14ac:dyDescent="0.35">
      <c r="A5" s="5"/>
    </row>
    <row r="6" spans="1:25" x14ac:dyDescent="0.35">
      <c r="A6" s="17" t="s">
        <v>0</v>
      </c>
      <c r="B6" s="18" t="s">
        <v>25</v>
      </c>
      <c r="C6" s="18" t="s">
        <v>26</v>
      </c>
      <c r="D6" s="18" t="s">
        <v>56</v>
      </c>
      <c r="E6" s="18" t="s">
        <v>57</v>
      </c>
      <c r="F6" s="18" t="s">
        <v>58</v>
      </c>
      <c r="G6" s="18" t="s">
        <v>59</v>
      </c>
      <c r="H6" s="18" t="s">
        <v>60</v>
      </c>
      <c r="I6" s="18" t="s">
        <v>61</v>
      </c>
      <c r="J6" s="18" t="s">
        <v>62</v>
      </c>
      <c r="K6" s="18" t="s">
        <v>63</v>
      </c>
      <c r="L6" s="18" t="s">
        <v>43</v>
      </c>
      <c r="M6" s="18" t="s">
        <v>44</v>
      </c>
      <c r="N6" s="18" t="s">
        <v>45</v>
      </c>
      <c r="O6" s="18" t="s">
        <v>46</v>
      </c>
      <c r="P6" s="18" t="s">
        <v>47</v>
      </c>
      <c r="Q6" s="18" t="s">
        <v>34</v>
      </c>
      <c r="R6" s="18" t="s">
        <v>35</v>
      </c>
      <c r="S6" s="18" t="s">
        <v>36</v>
      </c>
      <c r="T6" s="18" t="s">
        <v>64</v>
      </c>
      <c r="U6" s="18" t="s">
        <v>65</v>
      </c>
      <c r="V6" s="24" t="s">
        <v>66</v>
      </c>
      <c r="W6" s="24" t="s">
        <v>67</v>
      </c>
      <c r="X6" s="24" t="s">
        <v>68</v>
      </c>
      <c r="Y6" s="24" t="s">
        <v>193</v>
      </c>
    </row>
    <row r="7" spans="1:25" x14ac:dyDescent="0.35">
      <c r="A7" s="5" t="s">
        <v>2</v>
      </c>
      <c r="B7">
        <f>SUMIFS('Daily Log'!$C:$C,'Daily Log'!$B:$B,A7,'Daily Log'!$A:$A,"&gt;="&amp;$B$3,'Daily Log'!$A:$A,"&lt;="&amp;$B$4)</f>
        <v>95</v>
      </c>
      <c r="C7">
        <f>SUMIFS('Daily Log'!$D:$D,'Daily Log'!$B:$B,A7,'Daily Log'!$A:$A,"&gt;="&amp;$B$3,'Daily Log'!$A:$A,"&lt;="&amp;$B$4)</f>
        <v>87</v>
      </c>
      <c r="D7">
        <f>B7+C7</f>
        <v>182</v>
      </c>
      <c r="E7" s="7">
        <f>IFERROR(_xlfn.XLOOKUP(A7,'RE Rates'!$A:$A,'RE Rates'!$B:$B,0),0)</f>
        <v>139.15</v>
      </c>
      <c r="F7" s="6"/>
      <c r="G7" s="6"/>
      <c r="H7" s="6"/>
      <c r="I7" s="7">
        <f>IFERROR(_xlfn.XLOOKUP(A7,'RE Rates'!$A:$A,'RE Rates'!$E:$E,0),0)</f>
        <v>83.6</v>
      </c>
      <c r="J7" s="7">
        <f>N(B7)*(N(E7))</f>
        <v>13219.25</v>
      </c>
      <c r="K7" s="7">
        <f t="shared" ref="K7:K25" si="0">N(C7)*N(I7)</f>
        <v>7273.2</v>
      </c>
      <c r="L7">
        <f>SUMIFS('Daily Log'!$K:$K,'Daily Log'!$B:$B,A7,'Daily Log'!$A:$A,"&gt;="&amp;$B$3,'Daily Log'!$A:$A,"&lt;="&amp;$B$4)</f>
        <v>0</v>
      </c>
      <c r="M7">
        <f>SUMIFS('Daily Log'!$G:$G,'Daily Log'!$B:$B,A7,'Daily Log'!$A:$A,"&gt;="&amp;$B$3,'Daily Log'!$A:$A,"&lt;="&amp;$B$4)</f>
        <v>0</v>
      </c>
      <c r="N7">
        <f>SUMIFS('Daily Log'!$H:$H,'Daily Log'!$B:$B,A7,'Daily Log'!$A:$A,"&gt;="&amp;$B$3,'Daily Log'!$A:$A,"&lt;="&amp;$B$4)</f>
        <v>0</v>
      </c>
      <c r="O7">
        <f>SUMIFS('Daily Log'!$I:$I,'Daily Log'!$B:$B,A7,'Daily Log'!$A:$A,"&gt;="&amp;$B$3,'Daily Log'!$A:$A,"&lt;="&amp;$B$4)</f>
        <v>0</v>
      </c>
      <c r="P7">
        <f>SUMIFS('Daily Log'!$J:$J,'Daily Log'!$B:$B,A7,'Daily Log'!$A:$A,"&gt;="&amp;$B$3,'Daily Log'!$A:$A,"&lt;="&amp;$B$4)</f>
        <v>0</v>
      </c>
      <c r="Q7">
        <f>SUMIFS('Daily Log'!$M:$M,'Daily Log'!$B:$B,A7,'Daily Log'!$A:$A,"&gt;="&amp;$B$3,'Daily Log'!$A:$A,"&lt;="&amp;$B$4)</f>
        <v>0</v>
      </c>
      <c r="R7">
        <f>SUMIFS('Daily Log'!$N:$N,'Daily Log'!$B:$B,A7,'Daily Log'!$A:$A,"&gt;="&amp;$B$3,'Daily Log'!$A:$A,"&lt;="&amp;$B$4)</f>
        <v>0</v>
      </c>
      <c r="S7">
        <f>SUMIFS('Daily Log'!$O:$O,'Daily Log'!$B:$B,A7,'Daily Log'!$A:$A,"&gt;="&amp;$B$3,'Daily Log'!$A:$A,"&lt;="&amp;$B$4)</f>
        <v>0</v>
      </c>
      <c r="T7" s="7">
        <f>N(L7)*IFERROR(_xlfn.XLOOKUP(A7,'RE Rates'!$A:$A,'RE Rates'!$F:$F,0),0)+N(M7)*IFERROR(_xlfn.XLOOKUP(A7,'RE Rates'!$A:$A,'RE Rates'!$G:$G,0),0)+N(N7)*IFERROR(_xlfn.XLOOKUP(A7,'RE Rates'!$A:$A,'RE Rates'!$H:$H,0),0)+N(O7)*IFERROR(_xlfn.XLOOKUP(A7,'RE Rates'!$A:$A,'RE Rates'!$I:$I,0),0)+N(P7)*IFERROR(_xlfn.XLOOKUP(A7,'RE Rates'!$A:$A,'RE Rates'!$J:$J,0),0)+N(Q7)*IFERROR(_xlfn.XLOOKUP(A7,'RE Rates'!$A:$A,'RE Rates'!$K:$K,0),0)+N(R7)*IFERROR(_xlfn.XLOOKUP(A7,'RE Rates'!$A:$A,'RE Rates'!$M:$M,0),0)+N(S7)*IFERROR(_xlfn.XLOOKUP(A7,'RE Rates'!$A:$A,'RE Rates'!$N:$N,0),0)</f>
        <v>0</v>
      </c>
      <c r="U7" s="7">
        <f t="shared" ref="U7:U14" si="1">N(J7)+N(K7)+N(T7)</f>
        <v>20492.45</v>
      </c>
      <c r="V7">
        <f t="shared" ref="V7:V15" si="2">MAX($L$3 - ROUND(N(D7),2), 0)</f>
        <v>18</v>
      </c>
      <c r="W7" s="7">
        <f t="shared" ref="W7:W25" si="3">N(E7) + N(H7)</f>
        <v>139.15</v>
      </c>
      <c r="X7" s="7">
        <f t="shared" ref="X7:X16" si="4" xml:space="preserve"> N(V7) * N(W7)</f>
        <v>2504.7000000000003</v>
      </c>
      <c r="Y7" s="7">
        <f>N(U7) + N(X7)</f>
        <v>22997.15</v>
      </c>
    </row>
    <row r="8" spans="1:25" x14ac:dyDescent="0.35">
      <c r="A8" s="5" t="s">
        <v>3</v>
      </c>
      <c r="B8">
        <f>SUMIFS('Daily Log'!$C:$C,'Daily Log'!$B:$B,A8,'Daily Log'!$A:$A,"&gt;="&amp;$B$3,'Daily Log'!$A:$A,"&lt;="&amp;$B$4)</f>
        <v>88</v>
      </c>
      <c r="C8">
        <f>SUMIFS('Daily Log'!$D:$D,'Daily Log'!$B:$B,A8,'Daily Log'!$A:$A,"&gt;="&amp;$B$3,'Daily Log'!$A:$A,"&lt;="&amp;$B$4)</f>
        <v>83</v>
      </c>
      <c r="D8">
        <f t="shared" ref="D8:D25" si="5">B8+C8</f>
        <v>171</v>
      </c>
      <c r="E8" s="7">
        <f>IFERROR(_xlfn.XLOOKUP(A8,'RE Rates'!$A:$A,'RE Rates'!$B:$B,0),0)</f>
        <v>168.3</v>
      </c>
      <c r="F8" s="6"/>
      <c r="G8" s="6"/>
      <c r="H8" s="6"/>
      <c r="I8" s="7">
        <f>IFERROR(_xlfn.XLOOKUP(A8,'RE Rates'!$A:$A,'RE Rates'!$E:$E,0),0)</f>
        <v>101.2</v>
      </c>
      <c r="J8" s="7">
        <f t="shared" ref="J8:J16" si="6">N(B8)*(N(E8))</f>
        <v>14810.400000000001</v>
      </c>
      <c r="K8" s="7">
        <f t="shared" si="0"/>
        <v>8399.6</v>
      </c>
      <c r="L8">
        <f>SUMIFS('Daily Log'!$K:$K,'Daily Log'!$B:$B,A8,'Daily Log'!$A:$A,"&gt;="&amp;$B$3,'Daily Log'!$A:$A,"&lt;="&amp;$B$4)</f>
        <v>0</v>
      </c>
      <c r="M8">
        <f>SUMIFS('Daily Log'!$G:$G,'Daily Log'!$B:$B,A8,'Daily Log'!$A:$A,"&gt;="&amp;$B$3,'Daily Log'!$A:$A,"&lt;="&amp;$B$4)</f>
        <v>0</v>
      </c>
      <c r="N8">
        <f>SUMIFS('Daily Log'!$H:$H,'Daily Log'!$B:$B,A8,'Daily Log'!$A:$A,"&gt;="&amp;$B$3,'Daily Log'!$A:$A,"&lt;="&amp;$B$4)</f>
        <v>0</v>
      </c>
      <c r="O8">
        <f>SUMIFS('Daily Log'!$I:$I,'Daily Log'!$B:$B,A8,'Daily Log'!$A:$A,"&gt;="&amp;$B$3,'Daily Log'!$A:$A,"&lt;="&amp;$B$4)</f>
        <v>0</v>
      </c>
      <c r="P8">
        <f>SUMIFS('Daily Log'!$J:$J,'Daily Log'!$B:$B,A8,'Daily Log'!$A:$A,"&gt;="&amp;$B$3,'Daily Log'!$A:$A,"&lt;="&amp;$B$4)</f>
        <v>0</v>
      </c>
      <c r="Q8">
        <f>SUMIFS('Daily Log'!$M:$M,'Daily Log'!$B:$B,A8,'Daily Log'!$A:$A,"&gt;="&amp;$B$3,'Daily Log'!$A:$A,"&lt;="&amp;$B$4)</f>
        <v>0</v>
      </c>
      <c r="R8">
        <f>SUMIFS('Daily Log'!$N:$N,'Daily Log'!$B:$B,A8,'Daily Log'!$A:$A,"&gt;="&amp;$B$3,'Daily Log'!$A:$A,"&lt;="&amp;$B$4)</f>
        <v>0</v>
      </c>
      <c r="S8">
        <f>SUMIFS('Daily Log'!$O:$O,'Daily Log'!$B:$B,A8,'Daily Log'!$A:$A,"&gt;="&amp;$B$3,'Daily Log'!$A:$A,"&lt;="&amp;$B$4)</f>
        <v>0</v>
      </c>
      <c r="T8" s="7">
        <f>N(L8)*IFERROR(_xlfn.XLOOKUP(A8,'RE Rates'!$A:$A,'RE Rates'!$F:$F,0),0)+N(M8)*IFERROR(_xlfn.XLOOKUP(A8,'RE Rates'!$A:$A,'RE Rates'!$G:$G,0),0)+N(N8)*IFERROR(_xlfn.XLOOKUP(A8,'RE Rates'!$A:$A,'RE Rates'!$H:$H,0),0)+N(O8)*IFERROR(_xlfn.XLOOKUP(A8,'RE Rates'!$A:$A,'RE Rates'!$I:$I,0),0)+N(P8)*IFERROR(_xlfn.XLOOKUP(A8,'RE Rates'!$A:$A,'RE Rates'!$J:$J,0),0)+N(Q8)*IFERROR(_xlfn.XLOOKUP(A8,'RE Rates'!$A:$A,'RE Rates'!$K:$K,0),0)+N(R8)*IFERROR(_xlfn.XLOOKUP(A8,'RE Rates'!$A:$A,'RE Rates'!$M:$M,0),0)+N(S8)*IFERROR(_xlfn.XLOOKUP(A8,'RE Rates'!$A:$A,'RE Rates'!$N:$N,0),0)</f>
        <v>0</v>
      </c>
      <c r="U8" s="7">
        <f t="shared" si="1"/>
        <v>23210</v>
      </c>
      <c r="V8">
        <f t="shared" si="2"/>
        <v>29</v>
      </c>
      <c r="W8" s="7">
        <f t="shared" si="3"/>
        <v>168.3</v>
      </c>
      <c r="X8" s="7">
        <f t="shared" si="4"/>
        <v>4880.7000000000007</v>
      </c>
      <c r="Y8" s="7">
        <f>N(U8) + N(X8)</f>
        <v>28090.7</v>
      </c>
    </row>
    <row r="9" spans="1:25" x14ac:dyDescent="0.35">
      <c r="A9" s="5" t="s">
        <v>4</v>
      </c>
      <c r="B9">
        <f>SUMIFS('Daily Log'!$C:$C,'Daily Log'!$B:$B,A9,'Daily Log'!$A:$A,"&gt;="&amp;$B$3,'Daily Log'!$A:$A,"&lt;="&amp;$B$4)</f>
        <v>42.099999999998907</v>
      </c>
      <c r="C9">
        <f>SUMIFS('Daily Log'!$D:$D,'Daily Log'!$B:$B,A9,'Daily Log'!$A:$A,"&gt;="&amp;$B$3,'Daily Log'!$A:$A,"&lt;="&amp;$B$4)</f>
        <v>56.600000000002183</v>
      </c>
      <c r="D9">
        <f t="shared" si="5"/>
        <v>98.700000000001097</v>
      </c>
      <c r="E9" s="7">
        <f>IFERROR(_xlfn.XLOOKUP(A9,'RE Rates'!$A:$A,'RE Rates'!$B:$B,0),0)</f>
        <v>255.75</v>
      </c>
      <c r="F9" s="6"/>
      <c r="G9" s="6"/>
      <c r="H9" s="6"/>
      <c r="I9" s="7">
        <f>IFERROR(_xlfn.XLOOKUP(A9,'RE Rates'!$A:$A,'RE Rates'!$E:$E,0),0)</f>
        <v>153.44999999999999</v>
      </c>
      <c r="J9" s="7">
        <f t="shared" si="6"/>
        <v>10767.074999999721</v>
      </c>
      <c r="K9" s="7">
        <f t="shared" si="0"/>
        <v>8685.2700000003351</v>
      </c>
      <c r="L9">
        <f>SUMIFS('Daily Log'!$K:$K,'Daily Log'!$B:$B,A9,'Daily Log'!$A:$A,"&gt;="&amp;$B$3,'Daily Log'!$A:$A,"&lt;="&amp;$B$4)</f>
        <v>0</v>
      </c>
      <c r="M9">
        <f>SUMIFS('Daily Log'!$G:$G,'Daily Log'!$B:$B,A9,'Daily Log'!$A:$A,"&gt;="&amp;$B$3,'Daily Log'!$A:$A,"&lt;="&amp;$B$4)</f>
        <v>0</v>
      </c>
      <c r="N9">
        <f>SUMIFS('Daily Log'!$H:$H,'Daily Log'!$B:$B,A9,'Daily Log'!$A:$A,"&gt;="&amp;$B$3,'Daily Log'!$A:$A,"&lt;="&amp;$B$4)</f>
        <v>0</v>
      </c>
      <c r="O9">
        <f>SUMIFS('Daily Log'!$I:$I,'Daily Log'!$B:$B,A9,'Daily Log'!$A:$A,"&gt;="&amp;$B$3,'Daily Log'!$A:$A,"&lt;="&amp;$B$4)</f>
        <v>0</v>
      </c>
      <c r="P9">
        <f>SUMIFS('Daily Log'!$J:$J,'Daily Log'!$B:$B,A9,'Daily Log'!$A:$A,"&gt;="&amp;$B$3,'Daily Log'!$A:$A,"&lt;="&amp;$B$4)</f>
        <v>0</v>
      </c>
      <c r="Q9">
        <f>SUMIFS('Daily Log'!$M:$M,'Daily Log'!$B:$B,A9,'Daily Log'!$A:$A,"&gt;="&amp;$B$3,'Daily Log'!$A:$A,"&lt;="&amp;$B$4)</f>
        <v>0</v>
      </c>
      <c r="R9">
        <f>SUMIFS('Daily Log'!$N:$N,'Daily Log'!$B:$B,A9,'Daily Log'!$A:$A,"&gt;="&amp;$B$3,'Daily Log'!$A:$A,"&lt;="&amp;$B$4)</f>
        <v>0</v>
      </c>
      <c r="S9">
        <f>SUMIFS('Daily Log'!$O:$O,'Daily Log'!$B:$B,A9,'Daily Log'!$A:$A,"&gt;="&amp;$B$3,'Daily Log'!$A:$A,"&lt;="&amp;$B$4)</f>
        <v>0</v>
      </c>
      <c r="T9" s="7">
        <f>N(L9)*IFERROR(_xlfn.XLOOKUP(A9,'RE Rates'!$A:$A,'RE Rates'!$F:$F,0),0)+N(M9)*IFERROR(_xlfn.XLOOKUP(A9,'RE Rates'!$A:$A,'RE Rates'!$G:$G,0),0)+N(N9)*IFERROR(_xlfn.XLOOKUP(A9,'RE Rates'!$A:$A,'RE Rates'!$H:$H,0),0)+N(O9)*IFERROR(_xlfn.XLOOKUP(A9,'RE Rates'!$A:$A,'RE Rates'!$I:$I,0),0)+N(P9)*IFERROR(_xlfn.XLOOKUP(A9,'RE Rates'!$A:$A,'RE Rates'!$J:$J,0),0)+N(Q9)*IFERROR(_xlfn.XLOOKUP(A9,'RE Rates'!$A:$A,'RE Rates'!$K:$K,0),0)+N(R9)*IFERROR(_xlfn.XLOOKUP(A9,'RE Rates'!$A:$A,'RE Rates'!$M:$M,0),0)+N(S9)*IFERROR(_xlfn.XLOOKUP(A9,'RE Rates'!$A:$A,'RE Rates'!$N:$N,0),0)</f>
        <v>0</v>
      </c>
      <c r="U9" s="7">
        <f t="shared" si="1"/>
        <v>19452.345000000056</v>
      </c>
      <c r="V9">
        <f t="shared" si="2"/>
        <v>101.3</v>
      </c>
      <c r="W9" s="7">
        <f t="shared" si="3"/>
        <v>255.75</v>
      </c>
      <c r="X9" s="7">
        <f t="shared" si="4"/>
        <v>25907.474999999999</v>
      </c>
      <c r="Y9" s="7">
        <f>N(U9) + N(X9)</f>
        <v>45359.820000000051</v>
      </c>
    </row>
    <row r="10" spans="1:25" x14ac:dyDescent="0.35">
      <c r="A10" s="5" t="s">
        <v>246</v>
      </c>
      <c r="B10">
        <f>SUMIFS('Daily Log'!$C:$C,'Daily Log'!$B:$B,A10,'Daily Log'!$A:$A,"&gt;="&amp;$B$3,'Daily Log'!$A:$A,"&lt;="&amp;$B$4)</f>
        <v>59.700000000000188</v>
      </c>
      <c r="C10">
        <f>SUMIFS('Daily Log'!$D:$D,'Daily Log'!$B:$B,A10,'Daily Log'!$A:$A,"&gt;="&amp;$B$3,'Daily Log'!$A:$A,"&lt;="&amp;$B$4)</f>
        <v>82.299999999999812</v>
      </c>
      <c r="D10">
        <f t="shared" si="5"/>
        <v>142</v>
      </c>
      <c r="E10" s="7">
        <f>IFERROR(_xlfn.XLOOKUP(A10,'RE Rates'!$A:$A,'RE Rates'!$B:$B,0),0)</f>
        <v>179.3</v>
      </c>
      <c r="F10" s="6"/>
      <c r="G10" s="6"/>
      <c r="H10" s="6"/>
      <c r="I10" s="7">
        <f>IFERROR(_xlfn.XLOOKUP(A10,'RE Rates'!$A:$A,'RE Rates'!$E:$E,0),0)</f>
        <v>107.8</v>
      </c>
      <c r="J10" s="7">
        <f t="shared" si="6"/>
        <v>10704.210000000034</v>
      </c>
      <c r="K10" s="7">
        <f t="shared" si="0"/>
        <v>8871.9399999999787</v>
      </c>
      <c r="L10">
        <f>SUMIFS('Daily Log'!$K:$K,'Daily Log'!$B:$B,A10,'Daily Log'!$A:$A,"&gt;="&amp;$B$3,'Daily Log'!$A:$A,"&lt;="&amp;$B$4)</f>
        <v>0</v>
      </c>
      <c r="M10">
        <f>SUMIFS('Daily Log'!$G:$G,'Daily Log'!$B:$B,A10,'Daily Log'!$A:$A,"&gt;="&amp;$B$3,'Daily Log'!$A:$A,"&lt;="&amp;$B$4)</f>
        <v>0</v>
      </c>
      <c r="N10">
        <f>SUMIFS('Daily Log'!$H:$H,'Daily Log'!$B:$B,A10,'Daily Log'!$A:$A,"&gt;="&amp;$B$3,'Daily Log'!$A:$A,"&lt;="&amp;$B$4)</f>
        <v>0</v>
      </c>
      <c r="O10">
        <f>SUMIFS('Daily Log'!$I:$I,'Daily Log'!$B:$B,A10,'Daily Log'!$A:$A,"&gt;="&amp;$B$3,'Daily Log'!$A:$A,"&lt;="&amp;$B$4)</f>
        <v>0</v>
      </c>
      <c r="P10">
        <f>SUMIFS('Daily Log'!$J:$J,'Daily Log'!$B:$B,A10,'Daily Log'!$A:$A,"&gt;="&amp;$B$3,'Daily Log'!$A:$A,"&lt;="&amp;$B$4)</f>
        <v>0</v>
      </c>
      <c r="Q10">
        <f>SUMIFS('Daily Log'!$M:$M,'Daily Log'!$B:$B,A10,'Daily Log'!$A:$A,"&gt;="&amp;$B$3,'Daily Log'!$A:$A,"&lt;="&amp;$B$4)</f>
        <v>0</v>
      </c>
      <c r="R10">
        <f>SUMIFS('Daily Log'!$N:$N,'Daily Log'!$B:$B,A10,'Daily Log'!$A:$A,"&gt;="&amp;$B$3,'Daily Log'!$A:$A,"&lt;="&amp;$B$4)</f>
        <v>0</v>
      </c>
      <c r="S10">
        <f>SUMIFS('Daily Log'!$O:$O,'Daily Log'!$B:$B,A10,'Daily Log'!$A:$A,"&gt;="&amp;$B$3,'Daily Log'!$A:$A,"&lt;="&amp;$B$4)</f>
        <v>0</v>
      </c>
      <c r="T10" s="7">
        <f>N(L10)*IFERROR(_xlfn.XLOOKUP(A10,'RE Rates'!$A:$A,'RE Rates'!$F:$F,0),0)+N(M10)*IFERROR(_xlfn.XLOOKUP(A10,'RE Rates'!$A:$A,'RE Rates'!$G:$G,0),0)+N(N10)*IFERROR(_xlfn.XLOOKUP(A10,'RE Rates'!$A:$A,'RE Rates'!$H:$H,0),0)+N(O10)*IFERROR(_xlfn.XLOOKUP(A10,'RE Rates'!$A:$A,'RE Rates'!$I:$I,0),0)+N(P10)*IFERROR(_xlfn.XLOOKUP(A10,'RE Rates'!$A:$A,'RE Rates'!$J:$J,0),0)+N(Q10)*IFERROR(_xlfn.XLOOKUP(A10,'RE Rates'!$A:$A,'RE Rates'!$K:$K,0),0)+N(R10)*IFERROR(_xlfn.XLOOKUP(A10,'RE Rates'!$A:$A,'RE Rates'!$M:$M,0),0)+N(S10)*IFERROR(_xlfn.XLOOKUP(A10,'RE Rates'!$A:$A,'RE Rates'!$N:$N,0),0)</f>
        <v>0</v>
      </c>
      <c r="U10" s="7">
        <f t="shared" si="1"/>
        <v>19576.150000000012</v>
      </c>
      <c r="V10">
        <f>MAX($L$3 - ROUND(N(D10),2), 0)</f>
        <v>58</v>
      </c>
      <c r="W10" s="7">
        <f t="shared" si="3"/>
        <v>179.3</v>
      </c>
      <c r="X10" s="184">
        <f xml:space="preserve"> N(V10) * N(W10)</f>
        <v>10399.400000000001</v>
      </c>
      <c r="Y10" s="7">
        <f>N(U10) + N(X10)</f>
        <v>29975.550000000014</v>
      </c>
    </row>
    <row r="11" spans="1:25" x14ac:dyDescent="0.35">
      <c r="A11" s="5" t="s">
        <v>248</v>
      </c>
      <c r="B11">
        <f>SUMIFS('Daily Log'!$C:$C,'Daily Log'!$B:$B,A11,'Daily Log'!$A:$A,"&gt;="&amp;$B$3,'Daily Log'!$A:$A,"&lt;="&amp;$B$4)</f>
        <v>0</v>
      </c>
      <c r="C11">
        <f>SUMIFS('Daily Log'!$D:$D,'Daily Log'!$B:$B,A11,'Daily Log'!$A:$A,"&gt;="&amp;$B$3,'Daily Log'!$A:$A,"&lt;="&amp;$B$4)</f>
        <v>0</v>
      </c>
      <c r="D11">
        <f t="shared" si="5"/>
        <v>0</v>
      </c>
      <c r="E11" s="7">
        <f>IFERROR(_xlfn.XLOOKUP(A11,'RE Rates'!$A:$A,'RE Rates'!$B:$B,0),0)</f>
        <v>179.3</v>
      </c>
      <c r="F11" s="6"/>
      <c r="G11" s="6"/>
      <c r="H11" s="6"/>
      <c r="I11" s="7">
        <f>IFERROR(_xlfn.XLOOKUP(A11,'RE Rates'!$A:$A,'RE Rates'!$E:$E,0),0)</f>
        <v>107.8</v>
      </c>
      <c r="J11" s="7">
        <f t="shared" si="6"/>
        <v>0</v>
      </c>
      <c r="K11" s="7">
        <f t="shared" si="0"/>
        <v>0</v>
      </c>
      <c r="L11">
        <f>SUMIFS('Daily Log'!$K:$K,'Daily Log'!$B:$B,A11,'Daily Log'!$A:$A,"&gt;="&amp;$B$3,'Daily Log'!$A:$A,"&lt;="&amp;$B$4)</f>
        <v>0</v>
      </c>
      <c r="M11">
        <f>SUMIFS('Daily Log'!$G:$G,'Daily Log'!$B:$B,A11,'Daily Log'!$A:$A,"&gt;="&amp;$B$3,'Daily Log'!$A:$A,"&lt;="&amp;$B$4)</f>
        <v>0</v>
      </c>
      <c r="N11">
        <f>SUMIFS('Daily Log'!$H:$H,'Daily Log'!$B:$B,A11,'Daily Log'!$A:$A,"&gt;="&amp;$B$3,'Daily Log'!$A:$A,"&lt;="&amp;$B$4)</f>
        <v>0</v>
      </c>
      <c r="O11">
        <f>SUMIFS('Daily Log'!$I:$I,'Daily Log'!$B:$B,A11,'Daily Log'!$A:$A,"&gt;="&amp;$B$3,'Daily Log'!$A:$A,"&lt;="&amp;$B$4)</f>
        <v>0</v>
      </c>
      <c r="P11">
        <f>SUMIFS('Daily Log'!$J:$J,'Daily Log'!$B:$B,A11,'Daily Log'!$A:$A,"&gt;="&amp;$B$3,'Daily Log'!$A:$A,"&lt;="&amp;$B$4)</f>
        <v>0</v>
      </c>
      <c r="Q11">
        <f>SUMIFS('Daily Log'!$M:$M,'Daily Log'!$B:$B,A11,'Daily Log'!$A:$A,"&gt;="&amp;$B$3,'Daily Log'!$A:$A,"&lt;="&amp;$B$4)</f>
        <v>0</v>
      </c>
      <c r="R11">
        <f>SUMIFS('Daily Log'!$N:$N,'Daily Log'!$B:$B,A11,'Daily Log'!$A:$A,"&gt;="&amp;$B$3,'Daily Log'!$A:$A,"&lt;="&amp;$B$4)</f>
        <v>0</v>
      </c>
      <c r="S11">
        <f>SUMIFS('Daily Log'!$O:$O,'Daily Log'!$B:$B,A11,'Daily Log'!$A:$A,"&gt;="&amp;$B$3,'Daily Log'!$A:$A,"&lt;="&amp;$B$4)</f>
        <v>0</v>
      </c>
      <c r="T11" s="7">
        <f>N(L11)*IFERROR(_xlfn.XLOOKUP(A11,'RE Rates'!$A:$A,'RE Rates'!$F:$F,0),0)+N(M11)*IFERROR(_xlfn.XLOOKUP(A11,'RE Rates'!$A:$A,'RE Rates'!$G:$G,0),0)+N(N11)*IFERROR(_xlfn.XLOOKUP(A11,'RE Rates'!$A:$A,'RE Rates'!$H:$H,0),0)+N(O11)*IFERROR(_xlfn.XLOOKUP(A11,'RE Rates'!$A:$A,'RE Rates'!$I:$I,0),0)+N(P11)*IFERROR(_xlfn.XLOOKUP(A11,'RE Rates'!$A:$A,'RE Rates'!$J:$J,0),0)+N(Q11)*IFERROR(_xlfn.XLOOKUP(A11,'RE Rates'!$A:$A,'RE Rates'!$K:$K,0),0)+N(R11)*IFERROR(_xlfn.XLOOKUP(A11,'RE Rates'!$A:$A,'RE Rates'!$M:$M,0),0)+N(S11)*IFERROR(_xlfn.XLOOKUP(A11,'RE Rates'!$A:$A,'RE Rates'!$N:$N,0),0)</f>
        <v>0</v>
      </c>
      <c r="U11" s="7">
        <f t="shared" si="1"/>
        <v>0</v>
      </c>
      <c r="V11">
        <f t="shared" si="2"/>
        <v>200</v>
      </c>
      <c r="W11" s="7">
        <f t="shared" si="3"/>
        <v>179.3</v>
      </c>
      <c r="X11" s="7">
        <f t="shared" si="4"/>
        <v>35860</v>
      </c>
      <c r="Y11" s="7">
        <f t="shared" ref="Y11:Y16" si="7">N(U11) + N(X11)</f>
        <v>35860</v>
      </c>
    </row>
    <row r="12" spans="1:25" x14ac:dyDescent="0.35">
      <c r="A12" s="5" t="s">
        <v>7</v>
      </c>
      <c r="B12">
        <f>SUMIFS('Daily Log'!$C:$C,'Daily Log'!$B:$B,A12,'Daily Log'!$A:$A,"&gt;="&amp;$B$3,'Daily Log'!$A:$A,"&lt;="&amp;$B$4)</f>
        <v>26.700000000000546</v>
      </c>
      <c r="C12">
        <f>SUMIFS('Daily Log'!$D:$D,'Daily Log'!$B:$B,A12,'Daily Log'!$A:$A,"&gt;="&amp;$B$3,'Daily Log'!$A:$A,"&lt;="&amp;$B$4)</f>
        <v>176.39999999999964</v>
      </c>
      <c r="D12">
        <f t="shared" si="5"/>
        <v>203.10000000000019</v>
      </c>
      <c r="E12" s="7">
        <f>IFERROR(_xlfn.XLOOKUP(A12,'RE Rates'!$A:$A,'RE Rates'!$B:$B,0),0)</f>
        <v>173.8</v>
      </c>
      <c r="F12" s="6"/>
      <c r="G12" s="6"/>
      <c r="H12" s="6"/>
      <c r="I12" s="7">
        <f>IFERROR(_xlfn.XLOOKUP(A12,'RE Rates'!$A:$A,'RE Rates'!$E:$E,0),0)</f>
        <v>104.5</v>
      </c>
      <c r="J12" s="7">
        <f t="shared" si="6"/>
        <v>4640.4600000000955</v>
      </c>
      <c r="K12" s="7">
        <f t="shared" si="0"/>
        <v>18433.799999999963</v>
      </c>
      <c r="L12">
        <f>SUMIFS('Daily Log'!$K:$K,'Daily Log'!$B:$B,A12,'Daily Log'!$A:$A,"&gt;="&amp;$B$3,'Daily Log'!$A:$A,"&lt;="&amp;$B$4)</f>
        <v>0</v>
      </c>
      <c r="M12">
        <f>SUMIFS('Daily Log'!$G:$G,'Daily Log'!$B:$B,A12,'Daily Log'!$A:$A,"&gt;="&amp;$B$3,'Daily Log'!$A:$A,"&lt;="&amp;$B$4)</f>
        <v>0</v>
      </c>
      <c r="N12">
        <f>SUMIFS('Daily Log'!$H:$H,'Daily Log'!$B:$B,A12,'Daily Log'!$A:$A,"&gt;="&amp;$B$3,'Daily Log'!$A:$A,"&lt;="&amp;$B$4)</f>
        <v>0</v>
      </c>
      <c r="O12">
        <f>SUMIFS('Daily Log'!$I:$I,'Daily Log'!$B:$B,A12,'Daily Log'!$A:$A,"&gt;="&amp;$B$3,'Daily Log'!$A:$A,"&lt;="&amp;$B$4)</f>
        <v>0</v>
      </c>
      <c r="P12">
        <f>SUMIFS('Daily Log'!$J:$J,'Daily Log'!$B:$B,A12,'Daily Log'!$A:$A,"&gt;="&amp;$B$3,'Daily Log'!$A:$A,"&lt;="&amp;$B$4)</f>
        <v>0</v>
      </c>
      <c r="Q12">
        <f>SUMIFS('Daily Log'!$M:$M,'Daily Log'!$B:$B,A12,'Daily Log'!$A:$A,"&gt;="&amp;$B$3,'Daily Log'!$A:$A,"&lt;="&amp;$B$4)</f>
        <v>0</v>
      </c>
      <c r="R12">
        <f>SUMIFS('Daily Log'!$N:$N,'Daily Log'!$B:$B,A12,'Daily Log'!$A:$A,"&gt;="&amp;$B$3,'Daily Log'!$A:$A,"&lt;="&amp;$B$4)</f>
        <v>0</v>
      </c>
      <c r="S12">
        <f>SUMIFS('Daily Log'!$O:$O,'Daily Log'!$B:$B,A12,'Daily Log'!$A:$A,"&gt;="&amp;$B$3,'Daily Log'!$A:$A,"&lt;="&amp;$B$4)</f>
        <v>0</v>
      </c>
      <c r="T12" s="7">
        <f>N(L12)*IFERROR(_xlfn.XLOOKUP(A12,'RE Rates'!$A:$A,'RE Rates'!$F:$F,0),0)+N(M12)*IFERROR(_xlfn.XLOOKUP(A12,'RE Rates'!$A:$A,'RE Rates'!$G:$G,0),0)+N(N12)*IFERROR(_xlfn.XLOOKUP(A12,'RE Rates'!$A:$A,'RE Rates'!$H:$H,0),0)+N(O12)*IFERROR(_xlfn.XLOOKUP(A12,'RE Rates'!$A:$A,'RE Rates'!$I:$I,0),0)+N(P12)*IFERROR(_xlfn.XLOOKUP(A12,'RE Rates'!$A:$A,'RE Rates'!$J:$J,0),0)+N(Q12)*IFERROR(_xlfn.XLOOKUP(A12,'RE Rates'!$A:$A,'RE Rates'!$K:$K,0),0)+N(R12)*IFERROR(_xlfn.XLOOKUP(A12,'RE Rates'!$A:$A,'RE Rates'!$M:$M,0),0)+N(S12)*IFERROR(_xlfn.XLOOKUP(A12,'RE Rates'!$A:$A,'RE Rates'!$N:$N,0),0)</f>
        <v>0</v>
      </c>
      <c r="U12" s="7">
        <f t="shared" si="1"/>
        <v>23074.26000000006</v>
      </c>
      <c r="V12">
        <f t="shared" si="2"/>
        <v>0</v>
      </c>
      <c r="W12" s="7">
        <f t="shared" si="3"/>
        <v>173.8</v>
      </c>
      <c r="X12" s="7">
        <f t="shared" si="4"/>
        <v>0</v>
      </c>
      <c r="Y12" s="7">
        <f t="shared" si="7"/>
        <v>23074.26000000006</v>
      </c>
    </row>
    <row r="13" spans="1:25" x14ac:dyDescent="0.35">
      <c r="A13" s="5" t="s">
        <v>8</v>
      </c>
      <c r="B13">
        <f>SUMIFS('Daily Log'!$C:$C,'Daily Log'!$B:$B,A13,'Daily Log'!$A:$A,"&gt;="&amp;$B$3,'Daily Log'!$A:$A,"&lt;="&amp;$B$4)</f>
        <v>44</v>
      </c>
      <c r="C13">
        <f>SUMIFS('Daily Log'!$D:$D,'Daily Log'!$B:$B,A13,'Daily Log'!$A:$A,"&gt;="&amp;$B$3,'Daily Log'!$A:$A,"&lt;="&amp;$B$4)</f>
        <v>127</v>
      </c>
      <c r="D13">
        <f t="shared" si="5"/>
        <v>171</v>
      </c>
      <c r="E13" s="7">
        <f>IFERROR(_xlfn.XLOOKUP(A13,'RE Rates'!$A:$A,'RE Rates'!$B:$B,0),0)</f>
        <v>112.75</v>
      </c>
      <c r="F13" s="6"/>
      <c r="G13" s="6"/>
      <c r="H13" s="6"/>
      <c r="I13" s="7">
        <f>IFERROR(_xlfn.XLOOKUP(A13,'RE Rates'!$A:$A,'RE Rates'!$E:$E,0),0)</f>
        <v>67.650000000000006</v>
      </c>
      <c r="J13" s="7">
        <f t="shared" si="6"/>
        <v>4961</v>
      </c>
      <c r="K13" s="7">
        <f t="shared" si="0"/>
        <v>8591.5500000000011</v>
      </c>
      <c r="L13">
        <f>SUMIFS('Daily Log'!$K:$K,'Daily Log'!$B:$B,A13,'Daily Log'!$A:$A,"&gt;="&amp;$B$3,'Daily Log'!$A:$A,"&lt;="&amp;$B$4)</f>
        <v>0</v>
      </c>
      <c r="M13">
        <f>SUMIFS('Daily Log'!$G:$G,'Daily Log'!$B:$B,A13,'Daily Log'!$A:$A,"&gt;="&amp;$B$3,'Daily Log'!$A:$A,"&lt;="&amp;$B$4)</f>
        <v>0</v>
      </c>
      <c r="N13">
        <f>SUMIFS('Daily Log'!$H:$H,'Daily Log'!$B:$B,A13,'Daily Log'!$A:$A,"&gt;="&amp;$B$3,'Daily Log'!$A:$A,"&lt;="&amp;$B$4)</f>
        <v>0</v>
      </c>
      <c r="O13">
        <f>SUMIFS('Daily Log'!$I:$I,'Daily Log'!$B:$B,A13,'Daily Log'!$A:$A,"&gt;="&amp;$B$3,'Daily Log'!$A:$A,"&lt;="&amp;$B$4)</f>
        <v>0</v>
      </c>
      <c r="P13">
        <f>SUMIFS('Daily Log'!$J:$J,'Daily Log'!$B:$B,A13,'Daily Log'!$A:$A,"&gt;="&amp;$B$3,'Daily Log'!$A:$A,"&lt;="&amp;$B$4)</f>
        <v>0</v>
      </c>
      <c r="Q13">
        <f>SUMIFS('Daily Log'!$M:$M,'Daily Log'!$B:$B,A13,'Daily Log'!$A:$A,"&gt;="&amp;$B$3,'Daily Log'!$A:$A,"&lt;="&amp;$B$4)</f>
        <v>0</v>
      </c>
      <c r="R13">
        <f>SUMIFS('Daily Log'!$N:$N,'Daily Log'!$B:$B,A13,'Daily Log'!$A:$A,"&gt;="&amp;$B$3,'Daily Log'!$A:$A,"&lt;="&amp;$B$4)</f>
        <v>0</v>
      </c>
      <c r="S13">
        <f>SUMIFS('Daily Log'!$O:$O,'Daily Log'!$B:$B,A13,'Daily Log'!$A:$A,"&gt;="&amp;$B$3,'Daily Log'!$A:$A,"&lt;="&amp;$B$4)</f>
        <v>0</v>
      </c>
      <c r="T13" s="7">
        <f>N(L13)*IFERROR(_xlfn.XLOOKUP(A13,'RE Rates'!$A:$A,'RE Rates'!$F:$F,0),0)+N(M13)*IFERROR(_xlfn.XLOOKUP(A13,'RE Rates'!$A:$A,'RE Rates'!$G:$G,0),0)+N(N13)*IFERROR(_xlfn.XLOOKUP(A13,'RE Rates'!$A:$A,'RE Rates'!$H:$H,0),0)+N(O13)*IFERROR(_xlfn.XLOOKUP(A13,'RE Rates'!$A:$A,'RE Rates'!$I:$I,0),0)+N(P13)*IFERROR(_xlfn.XLOOKUP(A13,'RE Rates'!$A:$A,'RE Rates'!$J:$J,0),0)+N(Q13)*IFERROR(_xlfn.XLOOKUP(A13,'RE Rates'!$A:$A,'RE Rates'!$K:$K,0),0)+N(R13)*IFERROR(_xlfn.XLOOKUP(A13,'RE Rates'!$A:$A,'RE Rates'!$M:$M,0),0)+N(S13)*IFERROR(_xlfn.XLOOKUP(A13,'RE Rates'!$A:$A,'RE Rates'!$N:$N,0),0)</f>
        <v>0</v>
      </c>
      <c r="U13" s="7">
        <f t="shared" si="1"/>
        <v>13552.550000000001</v>
      </c>
      <c r="V13">
        <f t="shared" si="2"/>
        <v>29</v>
      </c>
      <c r="W13" s="7">
        <f t="shared" si="3"/>
        <v>112.75</v>
      </c>
      <c r="X13" s="7">
        <f t="shared" si="4"/>
        <v>3269.75</v>
      </c>
      <c r="Y13" s="7">
        <f t="shared" si="7"/>
        <v>16822.300000000003</v>
      </c>
    </row>
    <row r="14" spans="1:25" x14ac:dyDescent="0.35">
      <c r="A14" s="5" t="s">
        <v>9</v>
      </c>
      <c r="B14">
        <f>SUMIFS('Daily Log'!$C:$C,'Daily Log'!$B:$B,A14,'Daily Log'!$A:$A,"&gt;="&amp;$B$3,'Daily Log'!$A:$A,"&lt;="&amp;$B$4)</f>
        <v>209</v>
      </c>
      <c r="C14">
        <f>SUMIFS('Daily Log'!$D:$D,'Daily Log'!$B:$B,A14,'Daily Log'!$A:$A,"&gt;="&amp;$B$3,'Daily Log'!$A:$A,"&lt;="&amp;$B$4)</f>
        <v>0</v>
      </c>
      <c r="D14">
        <f t="shared" si="5"/>
        <v>209</v>
      </c>
      <c r="E14" s="7">
        <f>IFERROR(_xlfn.XLOOKUP(A14,'RE Rates'!$A:$A,'RE Rates'!$B:$B,0),0)</f>
        <v>29.15</v>
      </c>
      <c r="F14" s="6"/>
      <c r="G14" s="6"/>
      <c r="H14" s="6"/>
      <c r="I14" s="7">
        <f>IFERROR(_xlfn.XLOOKUP(A14,'RE Rates'!$A:$A,'RE Rates'!$E:$E,0),0)</f>
        <v>17.600000000000001</v>
      </c>
      <c r="J14" s="7">
        <f t="shared" si="6"/>
        <v>6092.3499999999995</v>
      </c>
      <c r="K14" s="7">
        <f t="shared" si="0"/>
        <v>0</v>
      </c>
      <c r="L14">
        <f>SUMIFS('Daily Log'!$K:$K,'Daily Log'!$B:$B,A14,'Daily Log'!$A:$A,"&gt;="&amp;$B$3,'Daily Log'!$A:$A,"&lt;="&amp;$B$4)</f>
        <v>0</v>
      </c>
      <c r="M14">
        <f>SUMIFS('Daily Log'!$G:$G,'Daily Log'!$B:$B,A14,'Daily Log'!$A:$A,"&gt;="&amp;$B$3,'Daily Log'!$A:$A,"&lt;="&amp;$B$4)</f>
        <v>0</v>
      </c>
      <c r="N14">
        <f>SUMIFS('Daily Log'!$H:$H,'Daily Log'!$B:$B,A14,'Daily Log'!$A:$A,"&gt;="&amp;$B$3,'Daily Log'!$A:$A,"&lt;="&amp;$B$4)</f>
        <v>0</v>
      </c>
      <c r="O14">
        <f>SUMIFS('Daily Log'!$I:$I,'Daily Log'!$B:$B,A14,'Daily Log'!$A:$A,"&gt;="&amp;$B$3,'Daily Log'!$A:$A,"&lt;="&amp;$B$4)</f>
        <v>0</v>
      </c>
      <c r="P14">
        <f>SUMIFS('Daily Log'!$J:$J,'Daily Log'!$B:$B,A14,'Daily Log'!$A:$A,"&gt;="&amp;$B$3,'Daily Log'!$A:$A,"&lt;="&amp;$B$4)</f>
        <v>0</v>
      </c>
      <c r="Q14">
        <f>SUMIFS('Daily Log'!$M:$M,'Daily Log'!$B:$B,A14,'Daily Log'!$A:$A,"&gt;="&amp;$B$3,'Daily Log'!$A:$A,"&lt;="&amp;$B$4)</f>
        <v>0</v>
      </c>
      <c r="R14">
        <f>SUMIFS('Daily Log'!$N:$N,'Daily Log'!$B:$B,A14,'Daily Log'!$A:$A,"&gt;="&amp;$B$3,'Daily Log'!$A:$A,"&lt;="&amp;$B$4)</f>
        <v>0</v>
      </c>
      <c r="S14">
        <f>SUMIFS('Daily Log'!$O:$O,'Daily Log'!$B:$B,A14,'Daily Log'!$A:$A,"&gt;="&amp;$B$3,'Daily Log'!$A:$A,"&lt;="&amp;$B$4)</f>
        <v>0</v>
      </c>
      <c r="T14" s="7">
        <f>N(L14)*IFERROR(_xlfn.XLOOKUP(A14,'RE Rates'!$A:$A,'RE Rates'!$F:$F,0),0)+N(M14)*IFERROR(_xlfn.XLOOKUP(A14,'RE Rates'!$A:$A,'RE Rates'!$G:$G,0),0)+N(N14)*IFERROR(_xlfn.XLOOKUP(A14,'RE Rates'!$A:$A,'RE Rates'!$H:$H,0),0)+N(O14)*IFERROR(_xlfn.XLOOKUP(A14,'RE Rates'!$A:$A,'RE Rates'!$I:$I,0),0)+N(P14)*IFERROR(_xlfn.XLOOKUP(A14,'RE Rates'!$A:$A,'RE Rates'!$J:$J,0),0)+N(Q14)*IFERROR(_xlfn.XLOOKUP(A14,'RE Rates'!$A:$A,'RE Rates'!$K:$K,0),0)+N(R14)*IFERROR(_xlfn.XLOOKUP(A14,'RE Rates'!$A:$A,'RE Rates'!$M:$M,0),0)+N(S14)*IFERROR(_xlfn.XLOOKUP(A14,'RE Rates'!$A:$A,'RE Rates'!$N:$N,0),0)</f>
        <v>0</v>
      </c>
      <c r="U14" s="7">
        <f t="shared" si="1"/>
        <v>6092.3499999999995</v>
      </c>
      <c r="V14">
        <f t="shared" si="2"/>
        <v>0</v>
      </c>
      <c r="W14" s="7">
        <f t="shared" si="3"/>
        <v>29.15</v>
      </c>
      <c r="X14" s="7">
        <f t="shared" si="4"/>
        <v>0</v>
      </c>
      <c r="Y14" s="7">
        <f t="shared" si="7"/>
        <v>6092.3499999999995</v>
      </c>
    </row>
    <row r="15" spans="1:25" x14ac:dyDescent="0.35">
      <c r="A15" s="5" t="s">
        <v>10</v>
      </c>
      <c r="B15">
        <f>SUMIFS('Daily Log'!$C:$C,'Daily Log'!$B:$B,A15,'Daily Log'!$A:$A,"&gt;="&amp;$B$3,'Daily Log'!$A:$A,"&lt;="&amp;$B$4)</f>
        <v>209</v>
      </c>
      <c r="C15">
        <f>SUMIFS('Daily Log'!$D:$D,'Daily Log'!$B:$B,A15,'Daily Log'!$A:$A,"&gt;="&amp;$B$3,'Daily Log'!$A:$A,"&lt;="&amp;$B$4)</f>
        <v>0</v>
      </c>
      <c r="D15">
        <f t="shared" si="5"/>
        <v>209</v>
      </c>
      <c r="E15" s="7">
        <f>IFERROR(_xlfn.XLOOKUP(A15,'RE Rates'!$A:$A,'RE Rates'!$B:$B,0),0)</f>
        <v>29.15</v>
      </c>
      <c r="F15" s="6"/>
      <c r="G15" s="6"/>
      <c r="H15" s="6"/>
      <c r="I15" s="7">
        <f>IFERROR(_xlfn.XLOOKUP(A15,'RE Rates'!$A:$A,'RE Rates'!$E:$E,0),0)</f>
        <v>17.600000000000001</v>
      </c>
      <c r="J15" s="7">
        <f t="shared" si="6"/>
        <v>6092.3499999999995</v>
      </c>
      <c r="K15" s="7">
        <f t="shared" si="0"/>
        <v>0</v>
      </c>
      <c r="L15">
        <f>SUMIFS('Daily Log'!$K:$K,'Daily Log'!$B:$B,A15,'Daily Log'!$A:$A,"&gt;="&amp;$B$3,'Daily Log'!$A:$A,"&lt;="&amp;$B$4)</f>
        <v>0</v>
      </c>
      <c r="M15">
        <f>SUMIFS('Daily Log'!$G:$G,'Daily Log'!$B:$B,A15,'Daily Log'!$A:$A,"&gt;="&amp;$B$3,'Daily Log'!$A:$A,"&lt;="&amp;$B$4)</f>
        <v>0</v>
      </c>
      <c r="N15">
        <f>SUMIFS('Daily Log'!$H:$H,'Daily Log'!$B:$B,A15,'Daily Log'!$A:$A,"&gt;="&amp;$B$3,'Daily Log'!$A:$A,"&lt;="&amp;$B$4)</f>
        <v>0</v>
      </c>
      <c r="O15">
        <f>SUMIFS('Daily Log'!$I:$I,'Daily Log'!$B:$B,A15,'Daily Log'!$A:$A,"&gt;="&amp;$B$3,'Daily Log'!$A:$A,"&lt;="&amp;$B$4)</f>
        <v>0</v>
      </c>
      <c r="P15">
        <f>SUMIFS('Daily Log'!$J:$J,'Daily Log'!$B:$B,A15,'Daily Log'!$A:$A,"&gt;="&amp;$B$3,'Daily Log'!$A:$A,"&lt;="&amp;$B$4)</f>
        <v>0</v>
      </c>
      <c r="Q15">
        <f>SUMIFS('Daily Log'!$M:$M,'Daily Log'!$B:$B,A15,'Daily Log'!$A:$A,"&gt;="&amp;$B$3,'Daily Log'!$A:$A,"&lt;="&amp;$B$4)</f>
        <v>0</v>
      </c>
      <c r="R15">
        <f>SUMIFS('Daily Log'!$N:$N,'Daily Log'!$B:$B,A15,'Daily Log'!$A:$A,"&gt;="&amp;$B$3,'Daily Log'!$A:$A,"&lt;="&amp;$B$4)</f>
        <v>0</v>
      </c>
      <c r="S15">
        <f>SUMIFS('Daily Log'!$O:$O,'Daily Log'!$B:$B,A15,'Daily Log'!$A:$A,"&gt;="&amp;$B$3,'Daily Log'!$A:$A,"&lt;="&amp;$B$4)</f>
        <v>0</v>
      </c>
      <c r="T15" s="7">
        <f>N(L15)*IFERROR(_xlfn.XLOOKUP(A15,'RE Rates'!$A:$A,'RE Rates'!$F:$F,0),0)+N(M15)*IFERROR(_xlfn.XLOOKUP(A15,'RE Rates'!$A:$A,'RE Rates'!$G:$G,0),0)+N(N15)*IFERROR(_xlfn.XLOOKUP(A15,'RE Rates'!$A:$A,'RE Rates'!$H:$H,0),0)+N(O15)*IFERROR(_xlfn.XLOOKUP(A15,'RE Rates'!$A:$A,'RE Rates'!$I:$I,0),0)+N(P15)*IFERROR(_xlfn.XLOOKUP(A15,'RE Rates'!$A:$A,'RE Rates'!$J:$J,0),0)+N(Q15)*IFERROR(_xlfn.XLOOKUP(A15,'RE Rates'!$A:$A,'RE Rates'!$K:$K,0),0)+N(R15)*IFERROR(_xlfn.XLOOKUP(A15,'RE Rates'!$A:$A,'RE Rates'!$M:$M,0),0)+N(S15)*IFERROR(_xlfn.XLOOKUP(A15,'RE Rates'!$A:$A,'RE Rates'!$N:$N,0),0)</f>
        <v>0</v>
      </c>
      <c r="U15" s="7">
        <f t="shared" ref="U15:U22" si="8">N(J15)+N(K15)+N(T15)</f>
        <v>6092.3499999999995</v>
      </c>
      <c r="V15">
        <f t="shared" si="2"/>
        <v>0</v>
      </c>
      <c r="W15" s="7">
        <f t="shared" si="3"/>
        <v>29.15</v>
      </c>
      <c r="X15" s="7">
        <f t="shared" si="4"/>
        <v>0</v>
      </c>
      <c r="Y15" s="7">
        <f t="shared" si="7"/>
        <v>6092.3499999999995</v>
      </c>
    </row>
    <row r="16" spans="1:25" hidden="1" x14ac:dyDescent="0.35">
      <c r="A16" s="5" t="s">
        <v>11</v>
      </c>
      <c r="B16">
        <f>SUMIFS('Daily Log'!$C:$C,'Daily Log'!$B:$B,A16,'Daily Log'!$A:$A,"&gt;="&amp;$B$3,'Daily Log'!$A:$A,"&lt;="&amp;$B$4)</f>
        <v>88</v>
      </c>
      <c r="C16">
        <f>SUMIFS('Daily Log'!$D:$D,'Daily Log'!$B:$B,A16,'Daily Log'!$A:$A,"&gt;="&amp;$B$3,'Daily Log'!$A:$A,"&lt;="&amp;$B$4)</f>
        <v>0</v>
      </c>
      <c r="D16">
        <f t="shared" si="5"/>
        <v>88</v>
      </c>
      <c r="E16" s="7">
        <f>IFERROR(_xlfn.XLOOKUP(A16,'RE Rates'!$A:$A,'RE Rates'!$B:$B,0),0)</f>
        <v>29.15</v>
      </c>
      <c r="F16" s="6"/>
      <c r="G16" s="6"/>
      <c r="H16" s="6"/>
      <c r="I16" s="7">
        <v>29.15</v>
      </c>
      <c r="J16" s="7">
        <f t="shared" si="6"/>
        <v>2565.1999999999998</v>
      </c>
      <c r="K16" s="7">
        <f t="shared" si="0"/>
        <v>0</v>
      </c>
      <c r="L16">
        <f>SUMIFS('Daily Log'!$K:$K,'Daily Log'!$B:$B,A16,'Daily Log'!$A:$A,"&gt;="&amp;$B$3,'Daily Log'!$A:$A,"&lt;="&amp;$B$4)</f>
        <v>0</v>
      </c>
      <c r="M16">
        <f>SUMIFS('Daily Log'!$G:$G,'Daily Log'!$B:$B,A16,'Daily Log'!$A:$A,"&gt;="&amp;$B$3,'Daily Log'!$A:$A,"&lt;="&amp;$B$4)</f>
        <v>0</v>
      </c>
      <c r="N16">
        <f>SUMIFS('Daily Log'!$H:$H,'Daily Log'!$B:$B,A16,'Daily Log'!$A:$A,"&gt;="&amp;$B$3,'Daily Log'!$A:$A,"&lt;="&amp;$B$4)</f>
        <v>0</v>
      </c>
      <c r="O16">
        <f>SUMIFS('Daily Log'!$I:$I,'Daily Log'!$B:$B,A16,'Daily Log'!$A:$A,"&gt;="&amp;$B$3,'Daily Log'!$A:$A,"&lt;="&amp;$B$4)</f>
        <v>0</v>
      </c>
      <c r="P16">
        <f>SUMIFS('Daily Log'!$J:$J,'Daily Log'!$B:$B,A16,'Daily Log'!$A:$A,"&gt;="&amp;$B$3,'Daily Log'!$A:$A,"&lt;="&amp;$B$4)</f>
        <v>0</v>
      </c>
      <c r="Q16">
        <f>SUMIFS('Daily Log'!$M:$M,'Daily Log'!$B:$B,A16,'Daily Log'!$A:$A,"&gt;="&amp;$B$3,'Daily Log'!$A:$A,"&lt;="&amp;$B$4)</f>
        <v>0</v>
      </c>
      <c r="R16">
        <f>SUMIFS('Daily Log'!$N:$N,'Daily Log'!$B:$B,A16,'Daily Log'!$A:$A,"&gt;="&amp;$B$3,'Daily Log'!$A:$A,"&lt;="&amp;$B$4)</f>
        <v>0</v>
      </c>
      <c r="S16">
        <f>SUMIFS('Daily Log'!$O:$O,'Daily Log'!$B:$B,A16,'Daily Log'!$A:$A,"&gt;="&amp;$B$3,'Daily Log'!$A:$A,"&lt;="&amp;$B$4)</f>
        <v>0</v>
      </c>
      <c r="T16" s="4">
        <f>N(L16)*IFERROR(_xlfn.XLOOKUP(A16,'RE Rates'!$A:$A,'RE Rates'!$F:$F,0),0)+N(M16)*IFERROR(_xlfn.XLOOKUP(A16,'RE Rates'!$A:$A,'RE Rates'!$G:$G,0),0)+N(N16)*IFERROR(_xlfn.XLOOKUP(A16,'RE Rates'!$A:$A,'RE Rates'!$H:$H,0),0)+N(O16)*IFERROR(_xlfn.XLOOKUP(A16,'RE Rates'!$A:$A,'RE Rates'!$I:$I,0),0)+N(P16)*IFERROR(_xlfn.XLOOKUP(A16,'RE Rates'!$A:$A,'RE Rates'!$J:$J,0),0)+N(Q16)*IFERROR(_xlfn.XLOOKUP(A16,'RE Rates'!$A:$A,'RE Rates'!$K:$K,0),0)+N(R16)*IFERROR(_xlfn.XLOOKUP(A16,'RE Rates'!$A:$A,'RE Rates'!$M:$M,0),0)+N(S16)*IFERROR(_xlfn.XLOOKUP(A16,'RE Rates'!$A:$A,'RE Rates'!$N:$N,0),0)</f>
        <v>0</v>
      </c>
      <c r="U16" s="7">
        <f t="shared" si="8"/>
        <v>2565.1999999999998</v>
      </c>
      <c r="V16">
        <v>0</v>
      </c>
      <c r="W16" s="7">
        <f t="shared" si="3"/>
        <v>29.15</v>
      </c>
      <c r="X16" s="7">
        <f t="shared" si="4"/>
        <v>0</v>
      </c>
      <c r="Y16" s="7">
        <f t="shared" si="7"/>
        <v>2565.1999999999998</v>
      </c>
    </row>
    <row r="17" spans="1:29" hidden="1" x14ac:dyDescent="0.35">
      <c r="A17" s="5" t="s">
        <v>12</v>
      </c>
      <c r="B17">
        <f>SUMIFS('Daily Log'!$C:$C,'Daily Log'!$B:$B,A17,'Daily Log'!$A:$A,"&gt;="&amp;$B$3,'Daily Log'!$A:$A,"&lt;="&amp;$B$4)</f>
        <v>0</v>
      </c>
      <c r="C17">
        <f>SUMIFS('Daily Log'!$D:$D,'Daily Log'!$B:$B,A17,'Daily Log'!$A:$A,"&gt;="&amp;$B$3,'Daily Log'!$A:$A,"&lt;="&amp;$B$4)</f>
        <v>0</v>
      </c>
      <c r="D17">
        <f t="shared" si="5"/>
        <v>0</v>
      </c>
      <c r="E17" s="7">
        <f>IFERROR(_xlfn.XLOOKUP(A17,'RE Rates'!$A:$A,'RE Rates'!$B:$B,0),0)</f>
        <v>29.15</v>
      </c>
      <c r="F17" s="6"/>
      <c r="G17" s="6"/>
      <c r="H17" s="6"/>
      <c r="I17" s="7">
        <f>IFERROR(_xlfn.XLOOKUP(A17,'RE Rates'!$A:$A,'RE Rates'!$E:$E,0),0)</f>
        <v>17.600000000000001</v>
      </c>
      <c r="J17" s="7">
        <f>N(B17)*(N(E17))</f>
        <v>0</v>
      </c>
      <c r="K17" s="7">
        <f t="shared" si="0"/>
        <v>0</v>
      </c>
      <c r="L17">
        <f>SUMIFS('Daily Log'!$K:$K,'Daily Log'!$B:$B,A17,'Daily Log'!$A:$A,"&gt;="&amp;$B$3,'Daily Log'!$A:$A,"&lt;="&amp;$B$4)</f>
        <v>0</v>
      </c>
      <c r="M17">
        <f>SUMIFS('Daily Log'!$G:$G,'Daily Log'!$B:$B,A17,'Daily Log'!$A:$A,"&gt;="&amp;$B$3,'Daily Log'!$A:$A,"&lt;="&amp;$B$4)</f>
        <v>0</v>
      </c>
      <c r="N17">
        <f>SUMIFS('Daily Log'!$H:$H,'Daily Log'!$B:$B,A17,'Daily Log'!$A:$A,"&gt;="&amp;$B$3,'Daily Log'!$A:$A,"&lt;="&amp;$B$4)</f>
        <v>0</v>
      </c>
      <c r="O17">
        <f>SUMIFS('Daily Log'!$I:$I,'Daily Log'!$B:$B,A17,'Daily Log'!$A:$A,"&gt;="&amp;$B$3,'Daily Log'!$A:$A,"&lt;="&amp;$B$4)</f>
        <v>0</v>
      </c>
      <c r="P17">
        <f>SUMIFS('Daily Log'!$J:$J,'Daily Log'!$B:$B,A17,'Daily Log'!$A:$A,"&gt;="&amp;$B$3,'Daily Log'!$A:$A,"&lt;="&amp;$B$4)</f>
        <v>0</v>
      </c>
      <c r="Q17">
        <f>SUMIFS('Daily Log'!$M:$M,'Daily Log'!$B:$B,A17,'Daily Log'!$A:$A,"&gt;="&amp;$B$3,'Daily Log'!$A:$A,"&lt;="&amp;$B$4)</f>
        <v>0</v>
      </c>
      <c r="R17">
        <f>SUMIFS('Daily Log'!$N:$N,'Daily Log'!$B:$B,A17,'Daily Log'!$A:$A,"&gt;="&amp;$B$3,'Daily Log'!$A:$A,"&lt;="&amp;$B$4)</f>
        <v>0</v>
      </c>
      <c r="S17">
        <f>SUMIFS('Daily Log'!$O:$O,'Daily Log'!$B:$B,A17,'Daily Log'!$A:$A,"&gt;="&amp;$B$3,'Daily Log'!$A:$A,"&lt;="&amp;$B$4)</f>
        <v>0</v>
      </c>
      <c r="T17" s="4">
        <f>N(L17)*IFERROR(_xlfn.XLOOKUP(A17,'RE Rates'!$A:$A,'RE Rates'!$F:$F,0),0)+N(M17)*IFERROR(_xlfn.XLOOKUP(A17,'RE Rates'!$A:$A,'RE Rates'!$G:$G,0),0)+N(N17)*IFERROR(_xlfn.XLOOKUP(A17,'RE Rates'!$A:$A,'RE Rates'!$H:$H,0),0)+N(O17)*IFERROR(_xlfn.XLOOKUP(A17,'RE Rates'!$A:$A,'RE Rates'!$I:$I,0),0)+N(P17)*IFERROR(_xlfn.XLOOKUP(A17,'RE Rates'!$A:$A,'RE Rates'!$J:$J,0),0)+N(Q17)*IFERROR(_xlfn.XLOOKUP(A17,'RE Rates'!$A:$A,'RE Rates'!$K:$K,0),0)+N(R17)*IFERROR(_xlfn.XLOOKUP(A17,'RE Rates'!$A:$A,'RE Rates'!$M:$M,0),0)+N(S17)*IFERROR(_xlfn.XLOOKUP(A17,'RE Rates'!$A:$A,'RE Rates'!$N:$N,0),0)</f>
        <v>0</v>
      </c>
      <c r="U17" s="7">
        <f t="shared" si="8"/>
        <v>0</v>
      </c>
      <c r="V17" s="6"/>
      <c r="W17" s="7">
        <f t="shared" si="3"/>
        <v>29.15</v>
      </c>
      <c r="X17" s="9"/>
      <c r="Y17" s="7">
        <f t="shared" ref="Y17:Y25" si="9">N(U17)</f>
        <v>0</v>
      </c>
    </row>
    <row r="18" spans="1:29" x14ac:dyDescent="0.35">
      <c r="A18" s="5" t="s">
        <v>13</v>
      </c>
      <c r="B18">
        <f>SUMIFS('Daily Log'!$C:$C,'Daily Log'!$B:$B,A18,'Daily Log'!$A:$A,"&gt;="&amp;$B$3,'Daily Log'!$A:$A,"&lt;="&amp;$B$4)</f>
        <v>198</v>
      </c>
      <c r="C18">
        <f>SUMIFS('Daily Log'!$D:$D,'Daily Log'!$B:$B,A18,'Daily Log'!$A:$A,"&gt;="&amp;$B$3,'Daily Log'!$A:$A,"&lt;="&amp;$B$4)</f>
        <v>0</v>
      </c>
      <c r="D18">
        <f t="shared" si="5"/>
        <v>198</v>
      </c>
      <c r="E18" s="6"/>
      <c r="F18" s="6"/>
      <c r="G18" s="6"/>
      <c r="H18" s="7">
        <f>IFERROR(_xlfn.XLOOKUP(A18,'RE Rates'!$A:$A,'RE Rates'!$D:$D,0),0)</f>
        <v>115.5</v>
      </c>
      <c r="I18" s="7">
        <f>IFERROR(_xlfn.XLOOKUP(A18,'RE Rates'!$A:$A,'RE Rates'!$E:$E,0),0)</f>
        <v>115.5</v>
      </c>
      <c r="J18" s="7">
        <f>N(B18)*(N(H18))</f>
        <v>22869</v>
      </c>
      <c r="K18" s="7">
        <f t="shared" si="0"/>
        <v>0</v>
      </c>
      <c r="L18">
        <f>SUMIFS('Daily Log'!$K:$K,'Daily Log'!$B:$B,A18,'Daily Log'!$A:$A,"&gt;="&amp;$B$3,'Daily Log'!$A:$A,"&lt;="&amp;$B$4)</f>
        <v>0</v>
      </c>
      <c r="M18">
        <f>SUMIFS('Daily Log'!$G:$G,'Daily Log'!$B:$B,A18,'Daily Log'!$A:$A,"&gt;="&amp;$B$3,'Daily Log'!$A:$A,"&lt;="&amp;$B$4)</f>
        <v>0</v>
      </c>
      <c r="N18">
        <f>SUMIFS('Daily Log'!$H:$H,'Daily Log'!$B:$B,A18,'Daily Log'!$A:$A,"&gt;="&amp;$B$3,'Daily Log'!$A:$A,"&lt;="&amp;$B$4)</f>
        <v>0</v>
      </c>
      <c r="O18">
        <f>SUMIFS('Daily Log'!$I:$I,'Daily Log'!$B:$B,A18,'Daily Log'!$A:$A,"&gt;="&amp;$B$3,'Daily Log'!$A:$A,"&lt;="&amp;$B$4)</f>
        <v>0</v>
      </c>
      <c r="P18">
        <f>SUMIFS('Daily Log'!$J:$J,'Daily Log'!$B:$B,A18,'Daily Log'!$A:$A,"&gt;="&amp;$B$3,'Daily Log'!$A:$A,"&lt;="&amp;$B$4)</f>
        <v>0</v>
      </c>
      <c r="Q18">
        <f>SUMIFS('Daily Log'!$M:$M,'Daily Log'!$B:$B,A18,'Daily Log'!$A:$A,"&gt;="&amp;$B$3,'Daily Log'!$A:$A,"&lt;="&amp;$B$4)</f>
        <v>0</v>
      </c>
      <c r="R18">
        <f>SUMIFS('Daily Log'!$N:$N,'Daily Log'!$B:$B,A18,'Daily Log'!$A:$A,"&gt;="&amp;$B$3,'Daily Log'!$A:$A,"&lt;="&amp;$B$4)</f>
        <v>0</v>
      </c>
      <c r="S18">
        <f>SUMIFS('Daily Log'!$O:$O,'Daily Log'!$B:$B,A18,'Daily Log'!$A:$A,"&gt;="&amp;$B$3,'Daily Log'!$A:$A,"&lt;="&amp;$B$4)</f>
        <v>0</v>
      </c>
      <c r="T18" s="4">
        <f>N(L18)*IFERROR(_xlfn.XLOOKUP(A18,'RE Rates'!$A:$A,'RE Rates'!$F:$F,0),0)+N(M18)*IFERROR(_xlfn.XLOOKUP(A18,'RE Rates'!$A:$A,'RE Rates'!$G:$G,0),0)+N(N18)*IFERROR(_xlfn.XLOOKUP(A18,'RE Rates'!$A:$A,'RE Rates'!$H:$H,0),0)+N(O18)*IFERROR(_xlfn.XLOOKUP(A18,'RE Rates'!$A:$A,'RE Rates'!$I:$I,0),0)+N(P18)*IFERROR(_xlfn.XLOOKUP(A18,'RE Rates'!$A:$A,'RE Rates'!$J:$J,0),0)+N(Q18)*IFERROR(_xlfn.XLOOKUP(A18,'RE Rates'!$A:$A,'RE Rates'!$K:$K,0),0)+N(R18)*IFERROR(_xlfn.XLOOKUP(A18,'RE Rates'!$A:$A,'RE Rates'!$M:$M,0),0)+N(S18)*IFERROR(_xlfn.XLOOKUP(A18,'RE Rates'!$A:$A,'RE Rates'!$N:$N,0),0)</f>
        <v>0</v>
      </c>
      <c r="U18" s="7">
        <f t="shared" si="8"/>
        <v>22869</v>
      </c>
      <c r="V18" s="6"/>
      <c r="W18" s="7">
        <f t="shared" si="3"/>
        <v>115.5</v>
      </c>
      <c r="X18" s="9"/>
      <c r="Y18" s="7">
        <f t="shared" si="9"/>
        <v>22869</v>
      </c>
    </row>
    <row r="19" spans="1:29" x14ac:dyDescent="0.35">
      <c r="A19" s="5" t="s">
        <v>14</v>
      </c>
      <c r="B19">
        <f>SUMIFS('Daily Log'!$C:$C,'Daily Log'!$B:$B,A19,'Daily Log'!$A:$A,"&gt;="&amp;$B$3,'Daily Log'!$A:$A,"&lt;="&amp;$B$4)</f>
        <v>209.5</v>
      </c>
      <c r="C19">
        <f>SUMIFS('Daily Log'!$D:$D,'Daily Log'!$B:$B,A19,'Daily Log'!$A:$A,"&gt;="&amp;$B$3,'Daily Log'!$A:$A,"&lt;="&amp;$B$4)</f>
        <v>0</v>
      </c>
      <c r="D19">
        <f t="shared" si="5"/>
        <v>209.5</v>
      </c>
      <c r="E19" s="6"/>
      <c r="F19" s="6"/>
      <c r="G19" s="6"/>
      <c r="H19" s="7">
        <f>IFERROR(_xlfn.XLOOKUP(A19,'RE Rates'!$A:$A,'RE Rates'!$D:$D,0),0)</f>
        <v>115.5</v>
      </c>
      <c r="I19" s="7">
        <f>IFERROR(_xlfn.XLOOKUP(A19,'RE Rates'!$A:$A,'RE Rates'!$E:$E,0),0)</f>
        <v>115.5</v>
      </c>
      <c r="J19" s="7">
        <f t="shared" ref="J19:J22" si="10">N(B19)*(N(H19))</f>
        <v>24197.25</v>
      </c>
      <c r="K19" s="7">
        <f t="shared" si="0"/>
        <v>0</v>
      </c>
      <c r="L19">
        <f>SUMIFS('Daily Log'!$K:$K,'Daily Log'!$B:$B,A19,'Daily Log'!$A:$A,"&gt;="&amp;$B$3,'Daily Log'!$A:$A,"&lt;="&amp;$B$4)</f>
        <v>0</v>
      </c>
      <c r="M19">
        <f>SUMIFS('Daily Log'!$G:$G,'Daily Log'!$B:$B,A19,'Daily Log'!$A:$A,"&gt;="&amp;$B$3,'Daily Log'!$A:$A,"&lt;="&amp;$B$4)</f>
        <v>0</v>
      </c>
      <c r="N19">
        <f>SUMIFS('Daily Log'!$H:$H,'Daily Log'!$B:$B,A19,'Daily Log'!$A:$A,"&gt;="&amp;$B$3,'Daily Log'!$A:$A,"&lt;="&amp;$B$4)</f>
        <v>0</v>
      </c>
      <c r="O19">
        <f>SUMIFS('Daily Log'!$I:$I,'Daily Log'!$B:$B,A19,'Daily Log'!$A:$A,"&gt;="&amp;$B$3,'Daily Log'!$A:$A,"&lt;="&amp;$B$4)</f>
        <v>0</v>
      </c>
      <c r="P19">
        <f>SUMIFS('Daily Log'!$J:$J,'Daily Log'!$B:$B,A19,'Daily Log'!$A:$A,"&gt;="&amp;$B$3,'Daily Log'!$A:$A,"&lt;="&amp;$B$4)</f>
        <v>0</v>
      </c>
      <c r="Q19">
        <f>SUMIFS('Daily Log'!$M:$M,'Daily Log'!$B:$B,A19,'Daily Log'!$A:$A,"&gt;="&amp;$B$3,'Daily Log'!$A:$A,"&lt;="&amp;$B$4)</f>
        <v>0</v>
      </c>
      <c r="R19">
        <f>SUMIFS('Daily Log'!$N:$N,'Daily Log'!$B:$B,A19,'Daily Log'!$A:$A,"&gt;="&amp;$B$3,'Daily Log'!$A:$A,"&lt;="&amp;$B$4)</f>
        <v>0</v>
      </c>
      <c r="S19">
        <f>SUMIFS('Daily Log'!$O:$O,'Daily Log'!$B:$B,A19,'Daily Log'!$A:$A,"&gt;="&amp;$B$3,'Daily Log'!$A:$A,"&lt;="&amp;$B$4)</f>
        <v>0</v>
      </c>
      <c r="T19" s="4">
        <f>N(L19)*IFERROR(_xlfn.XLOOKUP(A19,'RE Rates'!$A:$A,'RE Rates'!$F:$F,0),0)+N(M19)*IFERROR(_xlfn.XLOOKUP(A19,'RE Rates'!$A:$A,'RE Rates'!$G:$G,0),0)+N(N19)*IFERROR(_xlfn.XLOOKUP(A19,'RE Rates'!$A:$A,'RE Rates'!$H:$H,0),0)+N(O19)*IFERROR(_xlfn.XLOOKUP(A19,'RE Rates'!$A:$A,'RE Rates'!$I:$I,0),0)+N(P19)*IFERROR(_xlfn.XLOOKUP(A19,'RE Rates'!$A:$A,'RE Rates'!$J:$J,0),0)+N(Q19)*IFERROR(_xlfn.XLOOKUP(A19,'RE Rates'!$A:$A,'RE Rates'!$K:$K,0),0)+N(R19)*IFERROR(_xlfn.XLOOKUP(A19,'RE Rates'!$A:$A,'RE Rates'!$M:$M,0),0)+N(S19)*IFERROR(_xlfn.XLOOKUP(A19,'RE Rates'!$A:$A,'RE Rates'!$N:$N,0),0)</f>
        <v>0</v>
      </c>
      <c r="U19" s="7">
        <f t="shared" si="8"/>
        <v>24197.25</v>
      </c>
      <c r="V19" s="6"/>
      <c r="W19" s="7">
        <f t="shared" si="3"/>
        <v>115.5</v>
      </c>
      <c r="X19" s="9"/>
      <c r="Y19" s="7">
        <f t="shared" si="9"/>
        <v>24197.25</v>
      </c>
    </row>
    <row r="20" spans="1:29" x14ac:dyDescent="0.35">
      <c r="A20" s="5" t="s">
        <v>15</v>
      </c>
      <c r="B20">
        <f>SUMIFS('Daily Log'!$C:$C,'Daily Log'!$B:$B,A20,'Daily Log'!$A:$A,"&gt;="&amp;$B$3,'Daily Log'!$A:$A,"&lt;="&amp;$B$4)</f>
        <v>179.5</v>
      </c>
      <c r="C20">
        <f>SUMIFS('Daily Log'!$D:$D,'Daily Log'!$B:$B,A20,'Daily Log'!$A:$A,"&gt;="&amp;$B$3,'Daily Log'!$A:$A,"&lt;="&amp;$B$4)</f>
        <v>0</v>
      </c>
      <c r="D20">
        <f t="shared" si="5"/>
        <v>179.5</v>
      </c>
      <c r="E20" s="6"/>
      <c r="F20" s="6"/>
      <c r="G20" s="6"/>
      <c r="H20" s="7">
        <f>IFERROR(_xlfn.XLOOKUP(A20,'RE Rates'!$A:$A,'RE Rates'!$D:$D,0),0)</f>
        <v>115.5</v>
      </c>
      <c r="I20" s="7">
        <f>IFERROR(_xlfn.XLOOKUP(A20,'RE Rates'!$A:$A,'RE Rates'!$E:$E,0),0)</f>
        <v>115.5</v>
      </c>
      <c r="J20" s="7">
        <f t="shared" si="10"/>
        <v>20732.25</v>
      </c>
      <c r="K20" s="7">
        <f t="shared" si="0"/>
        <v>0</v>
      </c>
      <c r="L20">
        <f>SUMIFS('Daily Log'!$K:$K,'Daily Log'!$B:$B,A20,'Daily Log'!$A:$A,"&gt;="&amp;$B$3,'Daily Log'!$A:$A,"&lt;="&amp;$B$4)</f>
        <v>0</v>
      </c>
      <c r="M20">
        <f>SUMIFS('Daily Log'!$G:$G,'Daily Log'!$B:$B,A20,'Daily Log'!$A:$A,"&gt;="&amp;$B$3,'Daily Log'!$A:$A,"&lt;="&amp;$B$4)</f>
        <v>0</v>
      </c>
      <c r="N20">
        <f>SUMIFS('Daily Log'!$H:$H,'Daily Log'!$B:$B,A20,'Daily Log'!$A:$A,"&gt;="&amp;$B$3,'Daily Log'!$A:$A,"&lt;="&amp;$B$4)</f>
        <v>0</v>
      </c>
      <c r="O20">
        <f>SUMIFS('Daily Log'!$I:$I,'Daily Log'!$B:$B,A20,'Daily Log'!$A:$A,"&gt;="&amp;$B$3,'Daily Log'!$A:$A,"&lt;="&amp;$B$4)</f>
        <v>0</v>
      </c>
      <c r="P20">
        <f>SUMIFS('Daily Log'!$J:$J,'Daily Log'!$B:$B,A20,'Daily Log'!$A:$A,"&gt;="&amp;$B$3,'Daily Log'!$A:$A,"&lt;="&amp;$B$4)</f>
        <v>0</v>
      </c>
      <c r="Q20">
        <f>SUMIFS('Daily Log'!$M:$M,'Daily Log'!$B:$B,A20,'Daily Log'!$A:$A,"&gt;="&amp;$B$3,'Daily Log'!$A:$A,"&lt;="&amp;$B$4)</f>
        <v>0</v>
      </c>
      <c r="R20">
        <f>SUMIFS('Daily Log'!$N:$N,'Daily Log'!$B:$B,A20,'Daily Log'!$A:$A,"&gt;="&amp;$B$3,'Daily Log'!$A:$A,"&lt;="&amp;$B$4)</f>
        <v>0</v>
      </c>
      <c r="S20">
        <f>SUMIFS('Daily Log'!$O:$O,'Daily Log'!$B:$B,A20,'Daily Log'!$A:$A,"&gt;="&amp;$B$3,'Daily Log'!$A:$A,"&lt;="&amp;$B$4)</f>
        <v>0</v>
      </c>
      <c r="T20" s="4">
        <f>N(L20)*IFERROR(_xlfn.XLOOKUP(A20,'RE Rates'!$A:$A,'RE Rates'!$F:$F,0),0)+N(M20)*IFERROR(_xlfn.XLOOKUP(A20,'RE Rates'!$A:$A,'RE Rates'!$G:$G,0),0)+N(N20)*IFERROR(_xlfn.XLOOKUP(A20,'RE Rates'!$A:$A,'RE Rates'!$H:$H,0),0)+N(O20)*IFERROR(_xlfn.XLOOKUP(A20,'RE Rates'!$A:$A,'RE Rates'!$I:$I,0),0)+N(P20)*IFERROR(_xlfn.XLOOKUP(A20,'RE Rates'!$A:$A,'RE Rates'!$J:$J,0),0)+N(Q20)*IFERROR(_xlfn.XLOOKUP(A20,'RE Rates'!$A:$A,'RE Rates'!$K:$K,0),0)+N(R20)*IFERROR(_xlfn.XLOOKUP(A20,'RE Rates'!$A:$A,'RE Rates'!$M:$M,0),0)+N(S20)*IFERROR(_xlfn.XLOOKUP(A20,'RE Rates'!$A:$A,'RE Rates'!$N:$N,0),0)</f>
        <v>0</v>
      </c>
      <c r="U20" s="7">
        <f t="shared" si="8"/>
        <v>20732.25</v>
      </c>
      <c r="V20" s="6"/>
      <c r="W20" s="7">
        <f t="shared" si="3"/>
        <v>115.5</v>
      </c>
      <c r="X20" s="9"/>
      <c r="Y20" s="7">
        <f t="shared" si="9"/>
        <v>20732.25</v>
      </c>
    </row>
    <row r="21" spans="1:29" x14ac:dyDescent="0.35">
      <c r="A21" s="5" t="s">
        <v>16</v>
      </c>
      <c r="B21">
        <f>SUMIFS('Daily Log'!$C:$C,'Daily Log'!$B:$B,A21,'Daily Log'!$A:$A,"&gt;="&amp;$B$3,'Daily Log'!$A:$A,"&lt;="&amp;$B$4)</f>
        <v>186.5</v>
      </c>
      <c r="C21">
        <f>SUMIFS('Daily Log'!$D:$D,'Daily Log'!$B:$B,A21,'Daily Log'!$A:$A,"&gt;="&amp;$B$3,'Daily Log'!$A:$A,"&lt;="&amp;$B$4)</f>
        <v>0</v>
      </c>
      <c r="D21">
        <f t="shared" si="5"/>
        <v>186.5</v>
      </c>
      <c r="E21" s="6"/>
      <c r="F21" s="6"/>
      <c r="G21" s="6"/>
      <c r="H21" s="7">
        <f>IFERROR(_xlfn.XLOOKUP(A21,'RE Rates'!$A:$A,'RE Rates'!$D:$D,0),0)</f>
        <v>115.5</v>
      </c>
      <c r="I21" s="7">
        <f>IFERROR(_xlfn.XLOOKUP(A21,'RE Rates'!$A:$A,'RE Rates'!$E:$E,0),0)</f>
        <v>115.5</v>
      </c>
      <c r="J21" s="7">
        <f t="shared" si="10"/>
        <v>21540.75</v>
      </c>
      <c r="K21" s="7">
        <f t="shared" si="0"/>
        <v>0</v>
      </c>
      <c r="L21">
        <f>SUMIFS('Daily Log'!$K:$K,'Daily Log'!$B:$B,A21,'Daily Log'!$A:$A,"&gt;="&amp;$B$3,'Daily Log'!$A:$A,"&lt;="&amp;$B$4)</f>
        <v>0</v>
      </c>
      <c r="M21">
        <f>SUMIFS('Daily Log'!$G:$G,'Daily Log'!$B:$B,A21,'Daily Log'!$A:$A,"&gt;="&amp;$B$3,'Daily Log'!$A:$A,"&lt;="&amp;$B$4)</f>
        <v>0</v>
      </c>
      <c r="N21">
        <f>SUMIFS('Daily Log'!$H:$H,'Daily Log'!$B:$B,A21,'Daily Log'!$A:$A,"&gt;="&amp;$B$3,'Daily Log'!$A:$A,"&lt;="&amp;$B$4)</f>
        <v>0</v>
      </c>
      <c r="O21">
        <f>SUMIFS('Daily Log'!$I:$I,'Daily Log'!$B:$B,A21,'Daily Log'!$A:$A,"&gt;="&amp;$B$3,'Daily Log'!$A:$A,"&lt;="&amp;$B$4)</f>
        <v>0</v>
      </c>
      <c r="P21">
        <f>SUMIFS('Daily Log'!$J:$J,'Daily Log'!$B:$B,A21,'Daily Log'!$A:$A,"&gt;="&amp;$B$3,'Daily Log'!$A:$A,"&lt;="&amp;$B$4)</f>
        <v>0</v>
      </c>
      <c r="Q21">
        <f>SUMIFS('Daily Log'!$M:$M,'Daily Log'!$B:$B,A21,'Daily Log'!$A:$A,"&gt;="&amp;$B$3,'Daily Log'!$A:$A,"&lt;="&amp;$B$4)</f>
        <v>0</v>
      </c>
      <c r="R21">
        <f>SUMIFS('Daily Log'!$N:$N,'Daily Log'!$B:$B,A21,'Daily Log'!$A:$A,"&gt;="&amp;$B$3,'Daily Log'!$A:$A,"&lt;="&amp;$B$4)</f>
        <v>0</v>
      </c>
      <c r="S21">
        <f>SUMIFS('Daily Log'!$O:$O,'Daily Log'!$B:$B,A21,'Daily Log'!$A:$A,"&gt;="&amp;$B$3,'Daily Log'!$A:$A,"&lt;="&amp;$B$4)</f>
        <v>0</v>
      </c>
      <c r="T21" s="4">
        <f>N(L21)*IFERROR(_xlfn.XLOOKUP(A21,'RE Rates'!$A:$A,'RE Rates'!$F:$F,0),0)+N(M21)*IFERROR(_xlfn.XLOOKUP(A21,'RE Rates'!$A:$A,'RE Rates'!$G:$G,0),0)+N(N21)*IFERROR(_xlfn.XLOOKUP(A21,'RE Rates'!$A:$A,'RE Rates'!$H:$H,0),0)+N(O21)*IFERROR(_xlfn.XLOOKUP(A21,'RE Rates'!$A:$A,'RE Rates'!$I:$I,0),0)+N(P21)*IFERROR(_xlfn.XLOOKUP(A21,'RE Rates'!$A:$A,'RE Rates'!$J:$J,0),0)+N(Q21)*IFERROR(_xlfn.XLOOKUP(A21,'RE Rates'!$A:$A,'RE Rates'!$K:$K,0),0)+N(R21)*IFERROR(_xlfn.XLOOKUP(A21,'RE Rates'!$A:$A,'RE Rates'!$M:$M,0),0)+N(S21)*IFERROR(_xlfn.XLOOKUP(A21,'RE Rates'!$A:$A,'RE Rates'!$N:$N,0),0)</f>
        <v>0</v>
      </c>
      <c r="U21" s="7">
        <f t="shared" si="8"/>
        <v>21540.75</v>
      </c>
      <c r="V21" s="6"/>
      <c r="W21" s="7">
        <f t="shared" si="3"/>
        <v>115.5</v>
      </c>
      <c r="X21" s="9"/>
      <c r="Y21" s="7">
        <f t="shared" si="9"/>
        <v>21540.75</v>
      </c>
    </row>
    <row r="22" spans="1:29" x14ac:dyDescent="0.35">
      <c r="A22" s="5" t="s">
        <v>17</v>
      </c>
      <c r="B22">
        <f>SUMIFS('Daily Log'!$C:$C,'Daily Log'!$B:$B,A22,'Daily Log'!$A:$A,"&gt;="&amp;$B$3,'Daily Log'!$A:$A,"&lt;="&amp;$B$4)</f>
        <v>209.5</v>
      </c>
      <c r="C22">
        <f>SUMIFS('Daily Log'!$D:$D,'Daily Log'!$B:$B,A22,'Daily Log'!$A:$A,"&gt;="&amp;$B$3,'Daily Log'!$A:$A,"&lt;="&amp;$B$4)</f>
        <v>0</v>
      </c>
      <c r="D22">
        <f t="shared" si="5"/>
        <v>209.5</v>
      </c>
      <c r="E22" s="6"/>
      <c r="F22" s="6"/>
      <c r="G22" s="6"/>
      <c r="H22" s="7">
        <f>IFERROR(_xlfn.XLOOKUP(A22,'RE Rates'!$A:$A,'RE Rates'!$D:$D,0),0)</f>
        <v>115.5</v>
      </c>
      <c r="I22" s="7">
        <f>IFERROR(_xlfn.XLOOKUP(A22,'RE Rates'!$A:$A,'RE Rates'!$E:$E,0),0)</f>
        <v>115.5</v>
      </c>
      <c r="J22" s="7">
        <f t="shared" si="10"/>
        <v>24197.25</v>
      </c>
      <c r="K22" s="7">
        <f t="shared" si="0"/>
        <v>0</v>
      </c>
      <c r="L22">
        <f>SUMIFS('Daily Log'!$K:$K,'Daily Log'!$B:$B,A22,'Daily Log'!$A:$A,"&gt;="&amp;$B$3,'Daily Log'!$A:$A,"&lt;="&amp;$B$4)</f>
        <v>0</v>
      </c>
      <c r="M22">
        <f>SUMIFS('Daily Log'!$G:$G,'Daily Log'!$B:$B,A22,'Daily Log'!$A:$A,"&gt;="&amp;$B$3,'Daily Log'!$A:$A,"&lt;="&amp;$B$4)</f>
        <v>0</v>
      </c>
      <c r="N22">
        <f>SUMIFS('Daily Log'!$H:$H,'Daily Log'!$B:$B,A22,'Daily Log'!$A:$A,"&gt;="&amp;$B$3,'Daily Log'!$A:$A,"&lt;="&amp;$B$4)</f>
        <v>0</v>
      </c>
      <c r="O22">
        <f>SUMIFS('Daily Log'!$I:$I,'Daily Log'!$B:$B,A22,'Daily Log'!$A:$A,"&gt;="&amp;$B$3,'Daily Log'!$A:$A,"&lt;="&amp;$B$4)</f>
        <v>0</v>
      </c>
      <c r="P22">
        <f>SUMIFS('Daily Log'!$J:$J,'Daily Log'!$B:$B,A22,'Daily Log'!$A:$A,"&gt;="&amp;$B$3,'Daily Log'!$A:$A,"&lt;="&amp;$B$4)</f>
        <v>0</v>
      </c>
      <c r="Q22">
        <f>SUMIFS('Daily Log'!$M:$M,'Daily Log'!$B:$B,A22,'Daily Log'!$A:$A,"&gt;="&amp;$B$3,'Daily Log'!$A:$A,"&lt;="&amp;$B$4)</f>
        <v>0</v>
      </c>
      <c r="R22">
        <f>SUMIFS('Daily Log'!$N:$N,'Daily Log'!$B:$B,A22,'Daily Log'!$A:$A,"&gt;="&amp;$B$3,'Daily Log'!$A:$A,"&lt;="&amp;$B$4)</f>
        <v>0</v>
      </c>
      <c r="S22">
        <f>SUMIFS('Daily Log'!$O:$O,'Daily Log'!$B:$B,A22,'Daily Log'!$A:$A,"&gt;="&amp;$B$3,'Daily Log'!$A:$A,"&lt;="&amp;$B$4)</f>
        <v>0</v>
      </c>
      <c r="T22" s="4">
        <f>N(L22)*IFERROR(_xlfn.XLOOKUP(A22,'RE Rates'!$A:$A,'RE Rates'!$F:$F,0),0)+N(M22)*IFERROR(_xlfn.XLOOKUP(A22,'RE Rates'!$A:$A,'RE Rates'!$G:$G,0),0)+N(N22)*IFERROR(_xlfn.XLOOKUP(A22,'RE Rates'!$A:$A,'RE Rates'!$H:$H,0),0)+N(O22)*IFERROR(_xlfn.XLOOKUP(A22,'RE Rates'!$A:$A,'RE Rates'!$I:$I,0),0)+N(P22)*IFERROR(_xlfn.XLOOKUP(A22,'RE Rates'!$A:$A,'RE Rates'!$J:$J,0),0)+N(Q22)*IFERROR(_xlfn.XLOOKUP(A22,'RE Rates'!$A:$A,'RE Rates'!$K:$K,0),0)+N(R22)*IFERROR(_xlfn.XLOOKUP(A22,'RE Rates'!$A:$A,'RE Rates'!$M:$M,0),0)+N(S22)*IFERROR(_xlfn.XLOOKUP(A22,'RE Rates'!$A:$A,'RE Rates'!$N:$N,0),0)</f>
        <v>0</v>
      </c>
      <c r="U22" s="7">
        <f t="shared" si="8"/>
        <v>24197.25</v>
      </c>
      <c r="V22" s="6"/>
      <c r="W22" s="7">
        <f t="shared" si="3"/>
        <v>115.5</v>
      </c>
      <c r="X22" s="9"/>
      <c r="Y22" s="7">
        <f t="shared" si="9"/>
        <v>24197.25</v>
      </c>
    </row>
    <row r="23" spans="1:29" x14ac:dyDescent="0.35">
      <c r="A23" s="5" t="s">
        <v>18</v>
      </c>
      <c r="B23">
        <f>SUMIFS('Daily Log'!$C:$C,'Daily Log'!$B:$B,A23,'Daily Log'!$A:$A,"&gt;="&amp;$B$3,'Daily Log'!$A:$A,"&lt;="&amp;$B$4)</f>
        <v>153.5</v>
      </c>
      <c r="C23">
        <f>SUMIFS('Daily Log'!$D:$D,'Daily Log'!$B:$B,A23,'Daily Log'!$A:$A,"&gt;="&amp;$B$3,'Daily Log'!$A:$A,"&lt;="&amp;$B$4)</f>
        <v>0</v>
      </c>
      <c r="D23">
        <f t="shared" si="5"/>
        <v>153.5</v>
      </c>
      <c r="E23" s="6"/>
      <c r="F23" s="6"/>
      <c r="G23" s="6"/>
      <c r="H23" s="7">
        <f>IFERROR(_xlfn.XLOOKUP(A23,'RE Rates'!$A:$A,'RE Rates'!$D:$D,0),0)</f>
        <v>115.5</v>
      </c>
      <c r="I23" s="7">
        <f>IFERROR(_xlfn.XLOOKUP(A23,'RE Rates'!$A:$A,'RE Rates'!$E:$E,0),0)</f>
        <v>115.5</v>
      </c>
      <c r="J23" s="7">
        <f>N(B23)*(N(H23))</f>
        <v>17729.25</v>
      </c>
      <c r="K23" s="7">
        <f t="shared" si="0"/>
        <v>0</v>
      </c>
      <c r="L23">
        <f>SUMIFS('Daily Log'!$K:$K,'Daily Log'!$B:$B,A23,'Daily Log'!$A:$A,"&gt;="&amp;$B$3,'Daily Log'!$A:$A,"&lt;="&amp;$B$4)</f>
        <v>0</v>
      </c>
      <c r="M23">
        <f>SUMIFS('Daily Log'!$G:$G,'Daily Log'!$B:$B,A23,'Daily Log'!$A:$A,"&gt;="&amp;$B$3,'Daily Log'!$A:$A,"&lt;="&amp;$B$4)</f>
        <v>0</v>
      </c>
      <c r="N23">
        <f>SUMIFS('Daily Log'!$H:$H,'Daily Log'!$B:$B,A23,'Daily Log'!$A:$A,"&gt;="&amp;$B$3,'Daily Log'!$A:$A,"&lt;="&amp;$B$4)</f>
        <v>0</v>
      </c>
      <c r="O23">
        <f>SUMIFS('Daily Log'!$I:$I,'Daily Log'!$B:$B,A23,'Daily Log'!$A:$A,"&gt;="&amp;$B$3,'Daily Log'!$A:$A,"&lt;="&amp;$B$4)</f>
        <v>0</v>
      </c>
      <c r="P23">
        <f>SUMIFS('Daily Log'!$J:$J,'Daily Log'!$B:$B,A23,'Daily Log'!$A:$A,"&gt;="&amp;$B$3,'Daily Log'!$A:$A,"&lt;="&amp;$B$4)</f>
        <v>0</v>
      </c>
      <c r="Q23">
        <f>SUMIFS('Daily Log'!$M:$M,'Daily Log'!$B:$B,A23,'Daily Log'!$A:$A,"&gt;="&amp;$B$3,'Daily Log'!$A:$A,"&lt;="&amp;$B$4)</f>
        <v>0</v>
      </c>
      <c r="R23">
        <f>SUMIFS('Daily Log'!$N:$N,'Daily Log'!$B:$B,A23,'Daily Log'!$A:$A,"&gt;="&amp;$B$3,'Daily Log'!$A:$A,"&lt;="&amp;$B$4)</f>
        <v>0</v>
      </c>
      <c r="S23">
        <f>SUMIFS('Daily Log'!$O:$O,'Daily Log'!$B:$B,A23,'Daily Log'!$A:$A,"&gt;="&amp;$B$3,'Daily Log'!$A:$A,"&lt;="&amp;$B$4)</f>
        <v>0</v>
      </c>
      <c r="T23" s="4">
        <f>N(L23)*IFERROR(_xlfn.XLOOKUP(A23,'RE Rates'!$A:$A,'RE Rates'!$F:$F,0),0)+N(M23)*IFERROR(_xlfn.XLOOKUP(A23,'RE Rates'!$A:$A,'RE Rates'!$G:$G,0),0)+N(N23)*IFERROR(_xlfn.XLOOKUP(A23,'RE Rates'!$A:$A,'RE Rates'!$H:$H,0),0)+N(O23)*IFERROR(_xlfn.XLOOKUP(A23,'RE Rates'!$A:$A,'RE Rates'!$I:$I,0),0)+N(P23)*IFERROR(_xlfn.XLOOKUP(A23,'RE Rates'!$A:$A,'RE Rates'!$J:$J,0),0)+N(Q23)*IFERROR(_xlfn.XLOOKUP(A23,'RE Rates'!$A:$A,'RE Rates'!$K:$K,0),0)+N(R23)*IFERROR(_xlfn.XLOOKUP(A23,'RE Rates'!$A:$A,'RE Rates'!$M:$M,0),0)+N(S23)*IFERROR(_xlfn.XLOOKUP(A23,'RE Rates'!$A:$A,'RE Rates'!$N:$N,0),0)</f>
        <v>0</v>
      </c>
      <c r="U23" s="7">
        <f t="shared" ref="U23:U24" si="11">N(J23)+N(K23)</f>
        <v>17729.25</v>
      </c>
      <c r="V23" s="6"/>
      <c r="W23" s="7">
        <f t="shared" si="3"/>
        <v>115.5</v>
      </c>
      <c r="X23" s="9"/>
      <c r="Y23" s="7">
        <f t="shared" si="9"/>
        <v>17729.25</v>
      </c>
    </row>
    <row r="24" spans="1:29" x14ac:dyDescent="0.35">
      <c r="A24" s="5" t="s">
        <v>19</v>
      </c>
      <c r="B24">
        <f>SUMIFS('Daily Log'!$C:$C,'Daily Log'!$B:$B,A24,'Daily Log'!$A:$A,"&gt;="&amp;$B$3,'Daily Log'!$A:$A,"&lt;="&amp;$B$4)</f>
        <v>0</v>
      </c>
      <c r="C24">
        <f>SUMIFS('Daily Log'!$D:$D,'Daily Log'!$B:$B,A24,'Daily Log'!$A:$A,"&gt;="&amp;$B$3,'Daily Log'!$A:$A,"&lt;="&amp;$B$4)</f>
        <v>0</v>
      </c>
      <c r="D24">
        <f t="shared" si="5"/>
        <v>0</v>
      </c>
      <c r="E24" s="6"/>
      <c r="F24" s="6"/>
      <c r="G24" s="6"/>
      <c r="H24" s="7">
        <f>IFERROR(_xlfn.XLOOKUP(A24,'RE Rates'!$A:$A,'RE Rates'!$D:$D,0),0)</f>
        <v>115.5</v>
      </c>
      <c r="I24" s="7">
        <f>IFERROR(_xlfn.XLOOKUP(A24,'RE Rates'!$A:$A,'RE Rates'!$E:$E,0),0)</f>
        <v>0</v>
      </c>
      <c r="J24" s="7">
        <f>N(B24)*N(H24)</f>
        <v>0</v>
      </c>
      <c r="K24" s="7">
        <f t="shared" si="0"/>
        <v>0</v>
      </c>
      <c r="L24">
        <f>SUMIFS('Daily Log'!$K:$K,'Daily Log'!$B:$B,A24,'Daily Log'!$A:$A,"&gt;="&amp;$B$3,'Daily Log'!$A:$A,"&lt;="&amp;$B$4)</f>
        <v>0</v>
      </c>
      <c r="M24">
        <f>SUMIFS('Daily Log'!$G:$G,'Daily Log'!$B:$B,A24,'Daily Log'!$A:$A,"&gt;="&amp;$B$3,'Daily Log'!$A:$A,"&lt;="&amp;$B$4)</f>
        <v>0</v>
      </c>
      <c r="N24">
        <f>SUMIFS('Daily Log'!$H:$H,'Daily Log'!$B:$B,A24,'Daily Log'!$A:$A,"&gt;="&amp;$B$3,'Daily Log'!$A:$A,"&lt;="&amp;$B$4)</f>
        <v>0</v>
      </c>
      <c r="O24">
        <f>SUMIFS('Daily Log'!$I:$I,'Daily Log'!$B:$B,A24,'Daily Log'!$A:$A,"&gt;="&amp;$B$3,'Daily Log'!$A:$A,"&lt;="&amp;$B$4)</f>
        <v>0</v>
      </c>
      <c r="P24">
        <f>SUMIFS('Daily Log'!$J:$J,'Daily Log'!$B:$B,A24,'Daily Log'!$A:$A,"&gt;="&amp;$B$3,'Daily Log'!$A:$A,"&lt;="&amp;$B$4)</f>
        <v>0</v>
      </c>
      <c r="Q24">
        <f>SUMIFS('Daily Log'!$M:$M,'Daily Log'!$B:$B,A24,'Daily Log'!$A:$A,"&gt;="&amp;$B$3,'Daily Log'!$A:$A,"&lt;="&amp;$B$4)</f>
        <v>0</v>
      </c>
      <c r="R24">
        <f>SUMIFS('Daily Log'!$N:$N,'Daily Log'!$B:$B,A24,'Daily Log'!$A:$A,"&gt;="&amp;$B$3,'Daily Log'!$A:$A,"&lt;="&amp;$B$4)</f>
        <v>0</v>
      </c>
      <c r="S24">
        <f>SUMIFS('Daily Log'!$O:$O,'Daily Log'!$B:$B,A24,'Daily Log'!$A:$A,"&gt;="&amp;$B$3,'Daily Log'!$A:$A,"&lt;="&amp;$B$4)</f>
        <v>0</v>
      </c>
      <c r="T24" s="4">
        <f>N(L24)*IFERROR(_xlfn.XLOOKUP(A24,'RE Rates'!$A:$A,'RE Rates'!$F:$F,0),0)+N(M24)*IFERROR(_xlfn.XLOOKUP(A24,'RE Rates'!$A:$A,'RE Rates'!$G:$G,0),0)+N(N24)*IFERROR(_xlfn.XLOOKUP(A24,'RE Rates'!$A:$A,'RE Rates'!$H:$H,0),0)+N(O24)*IFERROR(_xlfn.XLOOKUP(A24,'RE Rates'!$A:$A,'RE Rates'!$I:$I,0),0)+N(P24)*IFERROR(_xlfn.XLOOKUP(A24,'RE Rates'!$A:$A,'RE Rates'!$J:$J,0),0)+N(Q24)*IFERROR(_xlfn.XLOOKUP(A24,'RE Rates'!$A:$A,'RE Rates'!$K:$K,0),0)+N(R24)*IFERROR(_xlfn.XLOOKUP(A24,'RE Rates'!$A:$A,'RE Rates'!$M:$M,0),0)+N(S24)*IFERROR(_xlfn.XLOOKUP(A24,'RE Rates'!$A:$A,'RE Rates'!$N:$N,0),0)</f>
        <v>0</v>
      </c>
      <c r="U24" s="7">
        <f t="shared" si="11"/>
        <v>0</v>
      </c>
      <c r="V24" s="6"/>
      <c r="W24" s="7">
        <f t="shared" si="3"/>
        <v>115.5</v>
      </c>
      <c r="X24" s="9"/>
      <c r="Y24" s="7">
        <f t="shared" si="9"/>
        <v>0</v>
      </c>
    </row>
    <row r="25" spans="1:29" x14ac:dyDescent="0.35">
      <c r="A25" s="5" t="s">
        <v>20</v>
      </c>
      <c r="B25">
        <f>SUMIFS('Daily Log'!$C:$C,'Daily Log'!$B:$B,A25,'Daily Log'!$A:$A,"&gt;="&amp;$B$3,'Daily Log'!$A:$A,"&lt;="&amp;$B$4)</f>
        <v>164.5</v>
      </c>
      <c r="C25">
        <f>SUMIFS('Daily Log'!$D:$D,'Daily Log'!$B:$B,A25,'Daily Log'!$A:$A,"&gt;="&amp;$B$3,'Daily Log'!$A:$A,"&lt;="&amp;$B$4)</f>
        <v>0</v>
      </c>
      <c r="D25">
        <f t="shared" si="5"/>
        <v>164.5</v>
      </c>
      <c r="E25" s="6"/>
      <c r="F25" s="6"/>
      <c r="G25" s="6"/>
      <c r="H25" s="7">
        <f>IFERROR(_xlfn.XLOOKUP(A25,'RE Rates'!$A:$A,'RE Rates'!$D:$D,0),0)</f>
        <v>142</v>
      </c>
      <c r="I25" s="7">
        <f>IFERROR(_xlfn.XLOOKUP(A25,'RE Rates'!$A:$A,'RE Rates'!$E:$E,0),0)</f>
        <v>142</v>
      </c>
      <c r="J25" s="7">
        <f>N(B25)*N(H25)</f>
        <v>23359</v>
      </c>
      <c r="K25" s="7">
        <f t="shared" si="0"/>
        <v>0</v>
      </c>
      <c r="L25">
        <f>SUMIFS('Daily Log'!$K:$K,'Daily Log'!$B:$B,A25,'Daily Log'!$A:$A,"&gt;="&amp;$B$3,'Daily Log'!$A:$A,"&lt;="&amp;$B$4)</f>
        <v>0</v>
      </c>
      <c r="M25">
        <f>SUMIFS('Daily Log'!$G:$G,'Daily Log'!$B:$B,A25,'Daily Log'!$A:$A,"&gt;="&amp;$B$3,'Daily Log'!$A:$A,"&lt;="&amp;$B$4)</f>
        <v>0</v>
      </c>
      <c r="N25">
        <f>SUMIFS('Daily Log'!$H:$H,'Daily Log'!$B:$B,A25,'Daily Log'!$A:$A,"&gt;="&amp;$B$3,'Daily Log'!$A:$A,"&lt;="&amp;$B$4)</f>
        <v>0</v>
      </c>
      <c r="O25">
        <f>SUMIFS('Daily Log'!$I:$I,'Daily Log'!$B:$B,A25,'Daily Log'!$A:$A,"&gt;="&amp;$B$3,'Daily Log'!$A:$A,"&lt;="&amp;$B$4)</f>
        <v>0</v>
      </c>
      <c r="P25">
        <f>SUMIFS('Daily Log'!$J:$J,'Daily Log'!$B:$B,A25,'Daily Log'!$A:$A,"&gt;="&amp;$B$3,'Daily Log'!$A:$A,"&lt;="&amp;$B$4)</f>
        <v>0</v>
      </c>
      <c r="Q25">
        <f>SUMIFS('Daily Log'!$M:$M,'Daily Log'!$B:$B,A25,'Daily Log'!$A:$A,"&gt;="&amp;$B$3,'Daily Log'!$A:$A,"&lt;="&amp;$B$4)</f>
        <v>0</v>
      </c>
      <c r="R25">
        <f>SUMIFS('Daily Log'!$N:$N,'Daily Log'!$B:$B,A25,'Daily Log'!$A:$A,"&gt;="&amp;$B$3,'Daily Log'!$A:$A,"&lt;="&amp;$B$4)</f>
        <v>0</v>
      </c>
      <c r="S25">
        <f>SUMIFS('Daily Log'!$O:$O,'Daily Log'!$B:$B,A25,'Daily Log'!$A:$A,"&gt;="&amp;$B$3,'Daily Log'!$A:$A,"&lt;="&amp;$B$4)</f>
        <v>0</v>
      </c>
      <c r="T25" s="4">
        <f>N(L25)*IFERROR(_xlfn.XLOOKUP(A25,'RE Rates'!$A:$A,'RE Rates'!$F:$F,0),0)+N(M25)*IFERROR(_xlfn.XLOOKUP(A25,'RE Rates'!$A:$A,'RE Rates'!$G:$G,0),0)+N(N25)*IFERROR(_xlfn.XLOOKUP(A25,'RE Rates'!$A:$A,'RE Rates'!$H:$H,0),0)+N(O25)*IFERROR(_xlfn.XLOOKUP(A25,'RE Rates'!$A:$A,'RE Rates'!$I:$I,0),0)+N(P25)*IFERROR(_xlfn.XLOOKUP(A25,'RE Rates'!$A:$A,'RE Rates'!$J:$J,0),0)+N(Q25)*IFERROR(_xlfn.XLOOKUP(A25,'RE Rates'!$A:$A,'RE Rates'!$K:$K,0),0)+N(R25)*IFERROR(_xlfn.XLOOKUP(A25,'RE Rates'!$A:$A,'RE Rates'!$M:$M,0),0)+N(S25)*IFERROR(_xlfn.XLOOKUP(A25,'RE Rates'!$A:$A,'RE Rates'!$N:$N,0),0)</f>
        <v>0</v>
      </c>
      <c r="U25" s="7">
        <f>N(J25)+N(K25)+T25</f>
        <v>23359</v>
      </c>
      <c r="V25" s="6"/>
      <c r="W25" s="7">
        <f t="shared" si="3"/>
        <v>142</v>
      </c>
      <c r="X25" s="9"/>
      <c r="Y25" s="7">
        <f t="shared" si="9"/>
        <v>23359</v>
      </c>
    </row>
    <row r="26" spans="1:29" x14ac:dyDescent="0.35">
      <c r="A26" s="5" t="s">
        <v>21</v>
      </c>
      <c r="B26" s="6"/>
      <c r="C26" s="6"/>
      <c r="D26" s="6"/>
      <c r="E26" s="6"/>
      <c r="F26">
        <f>SUMIFS('Daily Log'!$F:$F,'Daily Log'!$B:$B,A26,'Daily Log'!$A:$A,"&gt;="&amp;$B$3,'Daily Log'!$A:$A,"&lt;="&amp;$B$4)</f>
        <v>17</v>
      </c>
      <c r="G26" s="7">
        <f>IFERROR(_xlfn.XLOOKUP(A26,'RE Rates'!$A:$A,'RE Rates'!$C:$C,0),0)</f>
        <v>312.39999999999998</v>
      </c>
      <c r="H26" s="6"/>
      <c r="I26" s="6"/>
      <c r="J26" s="7">
        <f>N(F26)*(N(G26))</f>
        <v>5310.7999999999993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8">
        <f>J26</f>
        <v>5310.7999999999993</v>
      </c>
      <c r="V26" s="6"/>
      <c r="W26" s="7"/>
      <c r="X26" s="6"/>
      <c r="Y26" s="6"/>
    </row>
    <row r="27" spans="1:29" x14ac:dyDescent="0.35">
      <c r="A27" s="5" t="s">
        <v>22</v>
      </c>
      <c r="B27" s="6"/>
      <c r="C27" s="6"/>
      <c r="D27" s="6"/>
      <c r="E27" s="6"/>
      <c r="F27">
        <f>SUMIFS('Daily Log'!$F:$F,'Daily Log'!$B:$B,A27,'Daily Log'!$A:$A,"&gt;="&amp;$B$3,'Daily Log'!$A:$A,"&lt;="&amp;$B$4)</f>
        <v>11</v>
      </c>
      <c r="G27" s="7">
        <f>IFERROR(_xlfn.XLOOKUP(A27,'RE Rates'!$A:$A,'RE Rates'!$C:$C,0),0)</f>
        <v>187</v>
      </c>
      <c r="H27" s="6"/>
      <c r="I27" s="6"/>
      <c r="J27" s="7">
        <f>N(F27)*(N(G27))</f>
        <v>2057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8">
        <f>J27</f>
        <v>2057</v>
      </c>
      <c r="V27" s="6"/>
      <c r="W27" s="7"/>
      <c r="X27" s="6"/>
      <c r="Y27" s="6"/>
    </row>
    <row r="28" spans="1:29" x14ac:dyDescent="0.35">
      <c r="A28" s="5" t="str">
        <f>Config!A23</f>
        <v>Wallaby Beach Accommodation</v>
      </c>
      <c r="B28" s="6"/>
      <c r="C28" s="6"/>
      <c r="D28" s="6"/>
      <c r="E28" s="6"/>
      <c r="G28" s="7">
        <f>'Site Instructions &amp; Variations'!D2</f>
        <v>0</v>
      </c>
      <c r="H28" s="6"/>
      <c r="I28" s="6"/>
      <c r="J28" s="7">
        <f>(G28)</f>
        <v>0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7">
        <f>G28</f>
        <v>0</v>
      </c>
      <c r="V28" s="6"/>
      <c r="W28" s="7"/>
      <c r="X28" s="6"/>
      <c r="Y28" s="6"/>
    </row>
    <row r="29" spans="1:29" x14ac:dyDescent="0.35">
      <c r="A29" s="5"/>
      <c r="B29" s="6"/>
      <c r="C29" s="6"/>
      <c r="D29" s="6"/>
      <c r="E29" s="6"/>
      <c r="G29" s="7">
        <f>'Site Instructions &amp; Variations'!D3</f>
        <v>0</v>
      </c>
      <c r="H29" s="6"/>
      <c r="I29" s="6"/>
      <c r="J29" s="7">
        <f>(G29)</f>
        <v>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7">
        <f>G29</f>
        <v>0</v>
      </c>
      <c r="V29" s="6"/>
      <c r="W29" s="7"/>
      <c r="X29" s="6"/>
      <c r="Y29" s="6"/>
    </row>
    <row r="30" spans="1:29" x14ac:dyDescent="0.35">
      <c r="A30" s="10" t="s">
        <v>69</v>
      </c>
      <c r="B30" s="11">
        <f>SUM(B7:B25)</f>
        <v>2162.4999999999995</v>
      </c>
      <c r="C30" s="11">
        <f>SUM(C7:C25)</f>
        <v>612.30000000000166</v>
      </c>
      <c r="D30" s="11">
        <f>SUM(D7:D25)</f>
        <v>2774.8000000000011</v>
      </c>
      <c r="E30" s="12"/>
      <c r="F30" s="12"/>
      <c r="G30" s="12"/>
      <c r="H30" s="12"/>
      <c r="I30" s="12"/>
      <c r="J30" s="13">
        <f>SUM(J7:J28)</f>
        <v>235844.84499999986</v>
      </c>
      <c r="K30" s="13">
        <f>SUM(K7:K27)</f>
        <v>60255.360000000277</v>
      </c>
      <c r="L30" s="12"/>
      <c r="M30" s="12"/>
      <c r="N30" s="12"/>
      <c r="O30" s="12"/>
      <c r="P30" s="12"/>
      <c r="Q30" s="12"/>
      <c r="R30" s="12"/>
      <c r="S30" s="12"/>
      <c r="T30" s="14">
        <f>SUM(T7:T27)</f>
        <v>0</v>
      </c>
      <c r="U30" s="14">
        <f>SUM(U7:U29)</f>
        <v>296100.20500000013</v>
      </c>
      <c r="V30" s="15"/>
      <c r="W30" s="15"/>
      <c r="X30" s="16">
        <f>SUM(X7:X25)</f>
        <v>82822.024999999994</v>
      </c>
      <c r="Y30" s="14">
        <f>N(U30) + N(X30)</f>
        <v>378922.2300000001</v>
      </c>
    </row>
    <row r="31" spans="1:29" x14ac:dyDescent="0.35">
      <c r="AA31" s="8"/>
      <c r="AB31" s="8"/>
      <c r="AC31" s="8"/>
    </row>
    <row r="33" spans="21:21" x14ac:dyDescent="0.35">
      <c r="U33" s="7"/>
    </row>
    <row r="34" spans="21:21" x14ac:dyDescent="0.35">
      <c r="U34" s="7"/>
    </row>
  </sheetData>
  <protectedRanges>
    <protectedRange sqref="B3" name="Monthly Claim Date Rio"/>
  </protectedRanges>
  <phoneticPr fontId="4" type="noConversion"/>
  <printOptions horizontalCentered="1"/>
  <pageMargins left="0.75" right="0.75" top="1" bottom="1" header="0.5" footer="0.5"/>
  <pageSetup paperSize="8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veAndSend_Dayworks">
                <anchor>
                  <from>
                    <xdr:col>12</xdr:col>
                    <xdr:colOff>520700</xdr:colOff>
                    <xdr:row>2</xdr:row>
                    <xdr:rowOff>6350</xdr:rowOff>
                  </from>
                  <to>
                    <xdr:col>14</xdr:col>
                    <xdr:colOff>241300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DC-6048-4730-80A1-29C2A2FCBDE0}">
  <sheetPr codeName="Sheet7"/>
  <dimension ref="A1:D8"/>
  <sheetViews>
    <sheetView workbookViewId="0">
      <selection activeCell="D2" sqref="D2"/>
    </sheetView>
  </sheetViews>
  <sheetFormatPr defaultRowHeight="14.5" x14ac:dyDescent="0.35"/>
  <cols>
    <col min="1" max="1" width="11.1796875" style="41" bestFit="1" customWidth="1"/>
    <col min="2" max="2" width="31.1796875" style="38" bestFit="1" customWidth="1"/>
    <col min="3" max="3" width="26.7265625" bestFit="1" customWidth="1"/>
    <col min="4" max="4" width="11.54296875" style="31" bestFit="1" customWidth="1"/>
  </cols>
  <sheetData>
    <row r="1" spans="1:4" x14ac:dyDescent="0.35">
      <c r="A1" s="39" t="s">
        <v>24</v>
      </c>
      <c r="B1" s="37" t="s">
        <v>70</v>
      </c>
      <c r="C1" s="32" t="s">
        <v>71</v>
      </c>
      <c r="D1" s="33" t="s">
        <v>72</v>
      </c>
    </row>
    <row r="2" spans="1:4" x14ac:dyDescent="0.35">
      <c r="A2" s="40">
        <v>45991</v>
      </c>
      <c r="B2" s="43" t="s">
        <v>73</v>
      </c>
      <c r="C2" s="42" t="s">
        <v>73</v>
      </c>
      <c r="D2" s="35"/>
    </row>
    <row r="3" spans="1:4" x14ac:dyDescent="0.35">
      <c r="A3" s="40"/>
      <c r="B3" s="36"/>
      <c r="C3" s="36"/>
      <c r="D3" s="35"/>
    </row>
    <row r="4" spans="1:4" x14ac:dyDescent="0.35">
      <c r="A4" s="40"/>
      <c r="B4" s="36"/>
      <c r="C4" s="34"/>
      <c r="D4" s="35"/>
    </row>
    <row r="5" spans="1:4" x14ac:dyDescent="0.35">
      <c r="A5" s="40"/>
      <c r="B5" s="36"/>
      <c r="C5" s="34"/>
      <c r="D5" s="35"/>
    </row>
    <row r="6" spans="1:4" x14ac:dyDescent="0.35">
      <c r="A6" s="40"/>
      <c r="B6" s="36"/>
      <c r="C6" s="34"/>
      <c r="D6" s="35"/>
    </row>
    <row r="7" spans="1:4" x14ac:dyDescent="0.35">
      <c r="A7" s="40"/>
      <c r="B7" s="36"/>
      <c r="C7" s="34"/>
      <c r="D7" s="35"/>
    </row>
    <row r="8" spans="1:4" x14ac:dyDescent="0.35">
      <c r="A8" s="40"/>
      <c r="B8" s="36"/>
      <c r="C8" s="34"/>
      <c r="D8" s="35"/>
    </row>
  </sheetData>
  <sheetProtection sheet="1" objects="1" scenarios="1"/>
  <protectedRanges>
    <protectedRange sqref="A2:D8" name="Site Instruction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aveAndSend_Dayworks">
                <anchor>
                  <from>
                    <xdr:col>13</xdr:col>
                    <xdr:colOff>6350</xdr:colOff>
                    <xdr:row>2</xdr:row>
                    <xdr:rowOff>0</xdr:rowOff>
                  </from>
                  <to>
                    <xdr:col>15</xdr:col>
                    <xdr:colOff>184150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6B4C4-B396-41AF-9D55-EAF9C3C56E67}">
  <sheetPr codeName="Sheet36"/>
  <dimension ref="A1:B25"/>
  <sheetViews>
    <sheetView tabSelected="1" workbookViewId="0">
      <selection activeCell="A6" sqref="A6:B6"/>
    </sheetView>
  </sheetViews>
  <sheetFormatPr defaultRowHeight="14.5" x14ac:dyDescent="0.35"/>
  <cols>
    <col min="1" max="1" width="30" customWidth="1"/>
    <col min="2" max="2" width="33.453125" bestFit="1" customWidth="1"/>
  </cols>
  <sheetData>
    <row r="1" spans="1:2" x14ac:dyDescent="0.35">
      <c r="A1" t="s">
        <v>105</v>
      </c>
      <c r="B1" t="s">
        <v>106</v>
      </c>
    </row>
    <row r="2" spans="1:2" x14ac:dyDescent="0.35">
      <c r="A2" t="s">
        <v>84</v>
      </c>
      <c r="B2" t="s">
        <v>2</v>
      </c>
    </row>
    <row r="3" spans="1:2" x14ac:dyDescent="0.35">
      <c r="A3" t="s">
        <v>83</v>
      </c>
      <c r="B3" t="s">
        <v>3</v>
      </c>
    </row>
    <row r="4" spans="1:2" x14ac:dyDescent="0.35">
      <c r="A4" t="s">
        <v>161</v>
      </c>
      <c r="B4" t="s">
        <v>20</v>
      </c>
    </row>
    <row r="5" spans="1:2" x14ac:dyDescent="0.35">
      <c r="A5" t="s">
        <v>94</v>
      </c>
      <c r="B5" t="s">
        <v>15</v>
      </c>
    </row>
    <row r="6" spans="1:2" x14ac:dyDescent="0.35">
      <c r="A6" t="s">
        <v>246</v>
      </c>
      <c r="B6" t="s">
        <v>373</v>
      </c>
    </row>
    <row r="7" spans="1:2" x14ac:dyDescent="0.35">
      <c r="A7" t="s">
        <v>95</v>
      </c>
      <c r="B7" t="s">
        <v>14</v>
      </c>
    </row>
    <row r="8" spans="1:2" x14ac:dyDescent="0.35">
      <c r="A8" t="s">
        <v>85</v>
      </c>
      <c r="B8" t="s">
        <v>4</v>
      </c>
    </row>
    <row r="9" spans="1:2" x14ac:dyDescent="0.35">
      <c r="A9" t="s">
        <v>107</v>
      </c>
    </row>
    <row r="10" spans="1:2" x14ac:dyDescent="0.35">
      <c r="A10" t="s">
        <v>93</v>
      </c>
      <c r="B10" t="s">
        <v>17</v>
      </c>
    </row>
    <row r="11" spans="1:2" x14ac:dyDescent="0.35">
      <c r="A11" t="s">
        <v>248</v>
      </c>
      <c r="B11" t="s">
        <v>246</v>
      </c>
    </row>
    <row r="12" spans="1:2" x14ac:dyDescent="0.35">
      <c r="A12" t="s">
        <v>108</v>
      </c>
    </row>
    <row r="13" spans="1:2" x14ac:dyDescent="0.35">
      <c r="A13" t="s">
        <v>76</v>
      </c>
    </row>
    <row r="14" spans="1:2" x14ac:dyDescent="0.35">
      <c r="A14" t="s">
        <v>109</v>
      </c>
      <c r="B14" t="s">
        <v>16</v>
      </c>
    </row>
    <row r="15" spans="1:2" x14ac:dyDescent="0.35">
      <c r="A15" t="s">
        <v>91</v>
      </c>
    </row>
    <row r="16" spans="1:2" x14ac:dyDescent="0.35">
      <c r="A16" t="s">
        <v>78</v>
      </c>
    </row>
    <row r="17" spans="1:2" x14ac:dyDescent="0.35">
      <c r="A17" t="s">
        <v>7</v>
      </c>
      <c r="B17" t="s">
        <v>7</v>
      </c>
    </row>
    <row r="18" spans="1:2" x14ac:dyDescent="0.35">
      <c r="A18" t="s">
        <v>96</v>
      </c>
      <c r="B18" t="s">
        <v>13</v>
      </c>
    </row>
    <row r="19" spans="1:2" x14ac:dyDescent="0.35">
      <c r="A19" t="s">
        <v>92</v>
      </c>
      <c r="B19" t="s">
        <v>18</v>
      </c>
    </row>
    <row r="20" spans="1:2" x14ac:dyDescent="0.35">
      <c r="A20" t="s">
        <v>80</v>
      </c>
      <c r="B20" t="s">
        <v>8</v>
      </c>
    </row>
    <row r="21" spans="1:2" x14ac:dyDescent="0.35">
      <c r="A21" t="s">
        <v>9</v>
      </c>
      <c r="B21" t="s">
        <v>9</v>
      </c>
    </row>
    <row r="22" spans="1:2" x14ac:dyDescent="0.35">
      <c r="A22" t="s">
        <v>10</v>
      </c>
      <c r="B22" t="s">
        <v>10</v>
      </c>
    </row>
    <row r="23" spans="1:2" x14ac:dyDescent="0.35">
      <c r="A23" t="s">
        <v>11</v>
      </c>
      <c r="B23" t="s">
        <v>11</v>
      </c>
    </row>
    <row r="24" spans="1:2" x14ac:dyDescent="0.35">
      <c r="A24" t="s">
        <v>21</v>
      </c>
      <c r="B24" t="s">
        <v>21</v>
      </c>
    </row>
    <row r="25" spans="1:2" x14ac:dyDescent="0.35">
      <c r="A25" t="s">
        <v>22</v>
      </c>
      <c r="B25" t="s">
        <v>22</v>
      </c>
    </row>
  </sheetData>
  <phoneticPr fontId="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aveAndSend_Dayworks">
                <anchor>
                  <from>
                    <xdr:col>12</xdr:col>
                    <xdr:colOff>12700</xdr:colOff>
                    <xdr:row>2</xdr:row>
                    <xdr:rowOff>0</xdr:rowOff>
                  </from>
                  <to>
                    <xdr:col>14</xdr:col>
                    <xdr:colOff>190500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1CF11-53BC-4F0B-960D-8F22D3ED54FF}">
  <sheetPr codeName="Sheet39">
    <pageSetUpPr fitToPage="1"/>
  </sheetPr>
  <dimension ref="A1:M43"/>
  <sheetViews>
    <sheetView zoomScale="70" zoomScaleNormal="70" workbookViewId="0">
      <selection activeCell="I55" sqref="I55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20" x14ac:dyDescent="0.4">
      <c r="A1" s="99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7"/>
    </row>
    <row r="2" spans="1:13" ht="19" customHeight="1" x14ac:dyDescent="0.4">
      <c r="A2" s="55"/>
      <c r="B2" s="96"/>
      <c r="C2" s="57"/>
      <c r="D2" s="57"/>
      <c r="E2" s="57"/>
      <c r="F2" s="188" t="s">
        <v>104</v>
      </c>
      <c r="G2" s="188"/>
      <c r="H2" s="188"/>
      <c r="I2" s="188"/>
      <c r="J2" s="95">
        <v>45962</v>
      </c>
      <c r="L2" s="57"/>
      <c r="M2" s="49"/>
    </row>
    <row r="3" spans="1:13" ht="19" customHeight="1" x14ac:dyDescent="0.5">
      <c r="A3" s="55"/>
      <c r="B3" s="94"/>
      <c r="C3" s="57"/>
      <c r="D3" s="57"/>
      <c r="E3" s="57"/>
      <c r="F3" s="188"/>
      <c r="G3" s="188"/>
      <c r="H3" s="188"/>
      <c r="I3" s="188"/>
      <c r="J3" s="57"/>
      <c r="K3" s="57"/>
      <c r="L3" s="57"/>
      <c r="M3" s="49"/>
    </row>
    <row r="4" spans="1:13" ht="25" customHeight="1" x14ac:dyDescent="0.5">
      <c r="A4" s="55"/>
      <c r="B4" s="195" t="s">
        <v>103</v>
      </c>
      <c r="C4" s="196"/>
      <c r="D4" s="196"/>
      <c r="E4" s="196"/>
      <c r="F4" s="93"/>
      <c r="G4" s="93"/>
      <c r="H4" s="93"/>
      <c r="I4" s="92"/>
      <c r="J4" s="57"/>
      <c r="K4" s="57"/>
      <c r="L4" s="57"/>
      <c r="M4" s="49"/>
    </row>
    <row r="5" spans="1:13" ht="20" x14ac:dyDescent="0.4">
      <c r="A5" s="55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49"/>
    </row>
    <row r="6" spans="1:13" ht="20" x14ac:dyDescent="0.4">
      <c r="A6" s="55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49"/>
    </row>
    <row r="7" spans="1:13" ht="20" x14ac:dyDescent="0.4">
      <c r="A7" s="55"/>
      <c r="B7" s="197" t="s">
        <v>102</v>
      </c>
      <c r="C7" s="198"/>
      <c r="D7" s="198"/>
      <c r="E7" s="198"/>
      <c r="F7" s="198"/>
      <c r="G7" s="198"/>
      <c r="H7" s="198"/>
      <c r="I7" s="198"/>
      <c r="J7" s="198"/>
      <c r="K7" s="198"/>
      <c r="L7" s="199"/>
      <c r="M7" s="49"/>
    </row>
    <row r="8" spans="1:13" ht="20" x14ac:dyDescent="0.4">
      <c r="A8" s="55"/>
      <c r="B8" s="200"/>
      <c r="C8" s="201"/>
      <c r="D8" s="201"/>
      <c r="E8" s="201"/>
      <c r="F8" s="201"/>
      <c r="G8" s="201"/>
      <c r="H8" s="201"/>
      <c r="I8" s="201"/>
      <c r="J8" s="201"/>
      <c r="K8" s="201"/>
      <c r="L8" s="202"/>
      <c r="M8" s="49"/>
    </row>
    <row r="9" spans="1:13" ht="20" x14ac:dyDescent="0.4">
      <c r="A9" s="55"/>
      <c r="B9" s="203" t="s">
        <v>101</v>
      </c>
      <c r="C9" s="198"/>
      <c r="D9" s="198"/>
      <c r="E9" s="198"/>
      <c r="F9" s="198"/>
      <c r="G9" s="198"/>
      <c r="H9" s="198"/>
      <c r="I9" s="198"/>
      <c r="J9" s="198"/>
      <c r="K9" s="198"/>
      <c r="L9" s="199"/>
      <c r="M9" s="49"/>
    </row>
    <row r="10" spans="1:13" ht="16.399999999999999" customHeight="1" thickBot="1" x14ac:dyDescent="0.45">
      <c r="A10" s="55"/>
      <c r="B10" s="200"/>
      <c r="C10" s="201"/>
      <c r="D10" s="201"/>
      <c r="E10" s="201"/>
      <c r="F10" s="201"/>
      <c r="G10" s="201"/>
      <c r="H10" s="201"/>
      <c r="I10" s="201"/>
      <c r="J10" s="201"/>
      <c r="K10" s="201"/>
      <c r="L10" s="202"/>
      <c r="M10" s="49"/>
    </row>
    <row r="11" spans="1:13" ht="22" customHeight="1" thickBot="1" x14ac:dyDescent="0.55000000000000004">
      <c r="A11" s="55"/>
      <c r="B11" s="91" t="s">
        <v>100</v>
      </c>
      <c r="C11" s="90" t="s">
        <v>99</v>
      </c>
      <c r="D11" s="90" t="s">
        <v>87</v>
      </c>
      <c r="E11" s="89"/>
      <c r="F11" s="204" t="s">
        <v>98</v>
      </c>
      <c r="G11" s="205"/>
      <c r="H11" s="205"/>
      <c r="I11" s="206"/>
      <c r="J11" s="207" t="s">
        <v>97</v>
      </c>
      <c r="K11" s="208"/>
      <c r="L11" s="209"/>
      <c r="M11" s="49"/>
    </row>
    <row r="12" spans="1:13" ht="22" customHeight="1" thickBot="1" x14ac:dyDescent="0.45">
      <c r="A12" s="55"/>
      <c r="B12" s="76" t="s">
        <v>96</v>
      </c>
      <c r="C12" s="71">
        <v>11.5</v>
      </c>
      <c r="D12" s="71"/>
      <c r="E12" s="71"/>
      <c r="F12" s="189" t="s">
        <v>79</v>
      </c>
      <c r="G12" s="190"/>
      <c r="H12" s="190"/>
      <c r="I12" s="191"/>
      <c r="J12" s="53"/>
      <c r="K12" s="53"/>
      <c r="L12" s="60"/>
      <c r="M12" s="49"/>
    </row>
    <row r="13" spans="1:13" ht="22" customHeight="1" thickBot="1" x14ac:dyDescent="0.45">
      <c r="A13" s="55"/>
      <c r="B13" s="73" t="s">
        <v>95</v>
      </c>
      <c r="C13" s="71">
        <v>11.5</v>
      </c>
      <c r="D13" s="70"/>
      <c r="E13" s="70"/>
      <c r="F13" s="189" t="s">
        <v>79</v>
      </c>
      <c r="G13" s="190"/>
      <c r="H13" s="190"/>
      <c r="I13" s="191"/>
      <c r="J13" s="53"/>
      <c r="K13" s="53"/>
      <c r="L13" s="60"/>
      <c r="M13" s="49"/>
    </row>
    <row r="14" spans="1:13" ht="22" customHeight="1" thickBot="1" x14ac:dyDescent="0.45">
      <c r="A14" s="55"/>
      <c r="B14" s="73" t="s">
        <v>94</v>
      </c>
      <c r="C14" s="71">
        <v>11.5</v>
      </c>
      <c r="D14" s="70"/>
      <c r="E14" s="70"/>
      <c r="F14" s="189" t="s">
        <v>79</v>
      </c>
      <c r="G14" s="190"/>
      <c r="H14" s="190"/>
      <c r="I14" s="191"/>
      <c r="J14" s="53"/>
      <c r="K14" s="53"/>
      <c r="L14" s="60"/>
      <c r="M14" s="49"/>
    </row>
    <row r="15" spans="1:13" ht="22" customHeight="1" thickBot="1" x14ac:dyDescent="0.45">
      <c r="A15" s="55"/>
      <c r="B15" s="73"/>
      <c r="C15" s="71"/>
      <c r="D15" s="70"/>
      <c r="E15" s="70"/>
      <c r="F15" s="189"/>
      <c r="G15" s="190"/>
      <c r="H15" s="190"/>
      <c r="I15" s="191"/>
      <c r="J15" s="88"/>
      <c r="K15" s="88"/>
      <c r="L15" s="87"/>
      <c r="M15" s="49"/>
    </row>
    <row r="16" spans="1:13" ht="22" customHeight="1" thickBot="1" x14ac:dyDescent="0.45">
      <c r="A16" s="55"/>
      <c r="B16" s="73" t="s">
        <v>93</v>
      </c>
      <c r="C16" s="71">
        <v>11.5</v>
      </c>
      <c r="D16" s="70"/>
      <c r="E16" s="70"/>
      <c r="F16" s="189" t="s">
        <v>79</v>
      </c>
      <c r="G16" s="190"/>
      <c r="H16" s="190"/>
      <c r="I16" s="191"/>
      <c r="J16" s="88"/>
      <c r="K16" s="88"/>
      <c r="L16" s="87"/>
      <c r="M16" s="49"/>
    </row>
    <row r="17" spans="1:13" ht="22" customHeight="1" x14ac:dyDescent="0.4">
      <c r="A17" s="55"/>
      <c r="B17" s="73" t="s">
        <v>92</v>
      </c>
      <c r="C17" s="71">
        <v>11.5</v>
      </c>
      <c r="D17" s="70"/>
      <c r="E17" s="84"/>
      <c r="F17" s="189" t="s">
        <v>79</v>
      </c>
      <c r="G17" s="190"/>
      <c r="H17" s="190"/>
      <c r="I17" s="191"/>
      <c r="J17" s="86"/>
      <c r="K17" s="86"/>
      <c r="L17" s="85"/>
      <c r="M17" s="49"/>
    </row>
    <row r="18" spans="1:13" ht="22" customHeight="1" x14ac:dyDescent="0.4">
      <c r="A18" s="55"/>
      <c r="B18" s="73"/>
      <c r="C18" s="70"/>
      <c r="D18" s="70"/>
      <c r="E18" s="84"/>
      <c r="F18" s="192"/>
      <c r="G18" s="193"/>
      <c r="H18" s="193"/>
      <c r="I18" s="194"/>
      <c r="J18" s="63"/>
      <c r="K18" s="63"/>
      <c r="L18" s="62"/>
      <c r="M18" s="49"/>
    </row>
    <row r="19" spans="1:13" ht="22" customHeight="1" thickBot="1" x14ac:dyDescent="0.45">
      <c r="A19" s="55"/>
      <c r="B19" s="83"/>
      <c r="C19" s="82"/>
      <c r="D19" s="82"/>
      <c r="E19" s="81"/>
      <c r="F19" s="185"/>
      <c r="G19" s="186"/>
      <c r="H19" s="186"/>
      <c r="I19" s="187"/>
      <c r="J19" s="63"/>
      <c r="K19" s="63"/>
      <c r="L19" s="62"/>
      <c r="M19" s="49"/>
    </row>
    <row r="20" spans="1:13" ht="22" customHeight="1" thickBot="1" x14ac:dyDescent="0.5">
      <c r="A20" s="55"/>
      <c r="B20" s="80" t="s">
        <v>91</v>
      </c>
      <c r="C20" s="79" t="s">
        <v>90</v>
      </c>
      <c r="D20" s="79" t="s">
        <v>89</v>
      </c>
      <c r="E20" s="79" t="s">
        <v>88</v>
      </c>
      <c r="F20" s="79" t="s">
        <v>87</v>
      </c>
      <c r="G20" s="78" t="s">
        <v>86</v>
      </c>
      <c r="H20" s="78" t="s">
        <v>110</v>
      </c>
      <c r="I20" s="77"/>
      <c r="J20" s="51"/>
      <c r="K20" s="51"/>
      <c r="L20" s="50"/>
      <c r="M20" s="49"/>
    </row>
    <row r="21" spans="1:13" ht="22" customHeight="1" x14ac:dyDescent="0.4">
      <c r="A21" s="55"/>
      <c r="B21" s="76" t="s">
        <v>85</v>
      </c>
      <c r="C21" s="72">
        <v>11738.2</v>
      </c>
      <c r="D21" s="72">
        <v>11746</v>
      </c>
      <c r="E21" s="70">
        <v>7.8</v>
      </c>
      <c r="F21" s="71">
        <f>11-E21</f>
        <v>3.2</v>
      </c>
      <c r="G21" s="71"/>
      <c r="H21" s="102"/>
      <c r="I21" s="75" t="s">
        <v>79</v>
      </c>
      <c r="J21" s="51"/>
      <c r="K21" s="51"/>
      <c r="L21" s="50"/>
      <c r="M21" s="49"/>
    </row>
    <row r="22" spans="1:13" ht="22" customHeight="1" x14ac:dyDescent="0.4">
      <c r="A22" s="55"/>
      <c r="B22" s="73" t="s">
        <v>84</v>
      </c>
      <c r="C22" s="72">
        <v>3561</v>
      </c>
      <c r="D22" s="72">
        <v>3568</v>
      </c>
      <c r="E22" s="70">
        <v>7</v>
      </c>
      <c r="F22" s="71">
        <f>11-E22</f>
        <v>4</v>
      </c>
      <c r="G22" s="70"/>
      <c r="H22" s="103"/>
      <c r="I22" s="69" t="s">
        <v>79</v>
      </c>
      <c r="J22" s="53"/>
      <c r="K22" s="53"/>
      <c r="L22" s="60"/>
      <c r="M22" s="49"/>
    </row>
    <row r="23" spans="1:13" ht="22" customHeight="1" x14ac:dyDescent="0.4">
      <c r="A23" s="55"/>
      <c r="B23" s="73" t="s">
        <v>83</v>
      </c>
      <c r="C23" s="72">
        <v>4068</v>
      </c>
      <c r="D23" s="72">
        <v>4075</v>
      </c>
      <c r="E23" s="70">
        <v>7</v>
      </c>
      <c r="F23" s="71">
        <f>11-E23</f>
        <v>4</v>
      </c>
      <c r="G23" s="70"/>
      <c r="H23" s="103"/>
      <c r="I23" s="69" t="s">
        <v>79</v>
      </c>
      <c r="J23" s="53"/>
      <c r="K23" s="53"/>
      <c r="L23" s="60"/>
      <c r="M23" s="49"/>
    </row>
    <row r="24" spans="1:13" ht="22" customHeight="1" thickBot="1" x14ac:dyDescent="0.45">
      <c r="A24" s="55"/>
      <c r="B24" s="73" t="s">
        <v>82</v>
      </c>
      <c r="C24" s="70"/>
      <c r="D24" s="70"/>
      <c r="E24" s="70">
        <v>0</v>
      </c>
      <c r="F24" s="71"/>
      <c r="G24" s="71">
        <v>11</v>
      </c>
      <c r="H24" s="102"/>
      <c r="I24" s="69" t="s">
        <v>38</v>
      </c>
      <c r="J24" s="53"/>
      <c r="K24" s="53"/>
      <c r="L24" s="60"/>
      <c r="M24" s="49"/>
    </row>
    <row r="25" spans="1:13" ht="22" customHeight="1" x14ac:dyDescent="0.4">
      <c r="A25" s="55"/>
      <c r="B25" s="73" t="s">
        <v>81</v>
      </c>
      <c r="C25" s="74">
        <v>7613.3</v>
      </c>
      <c r="D25" s="74">
        <v>7622.2</v>
      </c>
      <c r="E25" s="70">
        <v>8.9</v>
      </c>
      <c r="F25" s="71">
        <f>11-E25</f>
        <v>2.0999999999999996</v>
      </c>
      <c r="G25" s="70"/>
      <c r="H25" s="103"/>
      <c r="I25" s="69" t="s">
        <v>79</v>
      </c>
      <c r="J25" s="53"/>
      <c r="K25" s="53"/>
      <c r="L25" s="60"/>
      <c r="M25" s="49"/>
    </row>
    <row r="26" spans="1:13" ht="22" customHeight="1" x14ac:dyDescent="0.4">
      <c r="A26" s="55"/>
      <c r="B26" s="73" t="s">
        <v>80</v>
      </c>
      <c r="C26" s="72">
        <v>3964</v>
      </c>
      <c r="D26" s="72">
        <v>3972</v>
      </c>
      <c r="E26" s="70">
        <v>8</v>
      </c>
      <c r="F26" s="71">
        <f>11-E26</f>
        <v>3</v>
      </c>
      <c r="G26" s="70"/>
      <c r="H26" s="103"/>
      <c r="I26" s="69" t="s">
        <v>79</v>
      </c>
      <c r="J26" s="53"/>
      <c r="K26" s="53"/>
      <c r="L26" s="60"/>
      <c r="M26" s="49"/>
    </row>
    <row r="27" spans="1:13" ht="22" customHeight="1" x14ac:dyDescent="0.4">
      <c r="A27" s="55"/>
      <c r="B27" s="73" t="s">
        <v>7</v>
      </c>
      <c r="C27" s="72">
        <v>4527</v>
      </c>
      <c r="D27" s="72">
        <v>4528</v>
      </c>
      <c r="E27" s="70">
        <v>1</v>
      </c>
      <c r="F27" s="71">
        <f>11-E27</f>
        <v>10</v>
      </c>
      <c r="G27" s="70"/>
      <c r="H27" s="103"/>
      <c r="I27" s="69" t="s">
        <v>79</v>
      </c>
      <c r="J27" s="53"/>
      <c r="K27" s="53"/>
      <c r="L27" s="60"/>
      <c r="M27" s="49"/>
    </row>
    <row r="28" spans="1:13" ht="22" customHeight="1" x14ac:dyDescent="0.4">
      <c r="A28" s="55"/>
      <c r="B28" s="73" t="s">
        <v>9</v>
      </c>
      <c r="C28" s="68"/>
      <c r="D28" s="68"/>
      <c r="E28" s="68">
        <v>11</v>
      </c>
      <c r="F28" s="68"/>
      <c r="G28" s="68"/>
      <c r="H28" s="104"/>
      <c r="I28" s="67"/>
      <c r="J28" s="53"/>
      <c r="K28" s="53"/>
      <c r="L28" s="60"/>
      <c r="M28" s="49"/>
    </row>
    <row r="29" spans="1:13" ht="22" customHeight="1" x14ac:dyDescent="0.4">
      <c r="A29" s="55"/>
      <c r="B29" s="73" t="s">
        <v>10</v>
      </c>
      <c r="C29" s="68"/>
      <c r="D29" s="68"/>
      <c r="E29" s="68">
        <v>11</v>
      </c>
      <c r="F29" s="68"/>
      <c r="G29" s="68"/>
      <c r="H29" s="104"/>
      <c r="I29" s="67"/>
      <c r="J29" s="53"/>
      <c r="K29" s="53"/>
      <c r="L29" s="60"/>
      <c r="M29" s="49"/>
    </row>
    <row r="30" spans="1:13" ht="22" customHeight="1" x14ac:dyDescent="0.4">
      <c r="A30" s="55"/>
      <c r="B30" s="73" t="s">
        <v>11</v>
      </c>
      <c r="C30" s="100"/>
      <c r="D30" s="100"/>
      <c r="E30" s="100"/>
      <c r="F30" s="100"/>
      <c r="G30" s="100"/>
      <c r="H30" s="105"/>
      <c r="I30" s="101"/>
      <c r="J30" s="53"/>
      <c r="K30" s="53"/>
      <c r="L30" s="60"/>
      <c r="M30" s="49"/>
    </row>
    <row r="31" spans="1:13" ht="22" customHeight="1" x14ac:dyDescent="0.4">
      <c r="A31" s="55"/>
      <c r="B31" s="73" t="s">
        <v>21</v>
      </c>
      <c r="C31" s="100"/>
      <c r="D31" s="100"/>
      <c r="E31" s="100"/>
      <c r="F31" s="100"/>
      <c r="G31" s="100"/>
      <c r="H31" s="105">
        <v>1</v>
      </c>
      <c r="I31" s="101"/>
      <c r="J31" s="53"/>
      <c r="K31" s="53"/>
      <c r="L31" s="60"/>
      <c r="M31" s="49"/>
    </row>
    <row r="32" spans="1:13" ht="22" customHeight="1" thickBot="1" x14ac:dyDescent="0.45">
      <c r="A32" s="55"/>
      <c r="B32" s="73" t="s">
        <v>22</v>
      </c>
      <c r="C32" s="66"/>
      <c r="D32" s="66"/>
      <c r="E32" s="66"/>
      <c r="F32" s="66"/>
      <c r="G32" s="66"/>
      <c r="H32" s="106">
        <v>1</v>
      </c>
      <c r="I32" s="65"/>
      <c r="J32" s="53"/>
      <c r="K32" s="53"/>
      <c r="L32" s="60"/>
      <c r="M32" s="49"/>
    </row>
    <row r="33" spans="1:13" ht="22" customHeight="1" x14ac:dyDescent="0.4">
      <c r="A33" s="55"/>
      <c r="B33" s="64" t="s">
        <v>78</v>
      </c>
      <c r="C33" s="51"/>
      <c r="D33" s="51"/>
      <c r="E33" s="51"/>
      <c r="F33" s="51"/>
      <c r="G33" s="51"/>
      <c r="H33" s="51"/>
      <c r="I33" s="50"/>
      <c r="J33" s="64"/>
      <c r="K33" s="63"/>
      <c r="L33" s="62"/>
      <c r="M33" s="49"/>
    </row>
    <row r="34" spans="1:13" ht="22" customHeight="1" x14ac:dyDescent="0.4">
      <c r="A34" s="55"/>
      <c r="B34" s="54"/>
      <c r="C34" s="53"/>
      <c r="D34" s="53"/>
      <c r="E34" s="53"/>
      <c r="F34" s="53"/>
      <c r="G34" s="53"/>
      <c r="H34" s="53"/>
      <c r="I34" s="60"/>
      <c r="J34" s="54"/>
      <c r="K34" s="53"/>
      <c r="L34" s="60"/>
      <c r="M34" s="49"/>
    </row>
    <row r="35" spans="1:13" ht="22" customHeight="1" x14ac:dyDescent="0.4">
      <c r="A35" s="55"/>
      <c r="B35" s="54"/>
      <c r="C35" s="53"/>
      <c r="D35" s="53"/>
      <c r="E35" s="53"/>
      <c r="F35" s="53"/>
      <c r="G35" s="53"/>
      <c r="H35" s="53"/>
      <c r="I35" s="53"/>
      <c r="J35" s="61" t="s">
        <v>77</v>
      </c>
      <c r="K35" s="53"/>
      <c r="L35" s="60"/>
      <c r="M35" s="49"/>
    </row>
    <row r="36" spans="1:13" ht="22" customHeight="1" x14ac:dyDescent="0.4">
      <c r="A36" s="55"/>
      <c r="B36" s="54"/>
      <c r="C36" s="53"/>
      <c r="D36" s="53"/>
      <c r="E36" s="53"/>
      <c r="F36" s="53"/>
      <c r="G36" s="53"/>
      <c r="H36" s="53"/>
      <c r="I36" s="53"/>
      <c r="J36" s="59" t="s">
        <v>74</v>
      </c>
      <c r="K36" s="57"/>
      <c r="L36" s="56"/>
      <c r="M36" s="49"/>
    </row>
    <row r="37" spans="1:13" ht="22" customHeight="1" x14ac:dyDescent="0.4">
      <c r="A37" s="55"/>
      <c r="B37" s="61" t="s">
        <v>76</v>
      </c>
      <c r="C37" s="53"/>
      <c r="D37" s="53"/>
      <c r="E37" s="53"/>
      <c r="F37" s="53"/>
      <c r="G37" s="53"/>
      <c r="H37" s="53"/>
      <c r="I37" s="53"/>
      <c r="J37" s="58"/>
      <c r="K37" s="57"/>
      <c r="L37" s="56"/>
      <c r="M37" s="49"/>
    </row>
    <row r="38" spans="1:13" ht="22" customHeight="1" x14ac:dyDescent="0.4">
      <c r="A38" s="55"/>
      <c r="B38" s="54"/>
      <c r="C38" s="53"/>
      <c r="D38" s="53"/>
      <c r="E38" s="53"/>
      <c r="F38" s="53"/>
      <c r="G38" s="53"/>
      <c r="H38" s="53"/>
      <c r="I38" s="53"/>
      <c r="J38" s="52"/>
      <c r="K38" s="51"/>
      <c r="L38" s="50"/>
      <c r="M38" s="49"/>
    </row>
    <row r="39" spans="1:13" ht="22" customHeight="1" x14ac:dyDescent="0.4">
      <c r="A39" s="55"/>
      <c r="B39" s="54"/>
      <c r="C39" s="53"/>
      <c r="D39" s="53"/>
      <c r="E39" s="53"/>
      <c r="F39" s="53"/>
      <c r="G39" s="53"/>
      <c r="H39" s="53"/>
      <c r="I39" s="53"/>
      <c r="J39" s="61" t="s">
        <v>75</v>
      </c>
      <c r="K39" s="53"/>
      <c r="L39" s="60"/>
      <c r="M39" s="49"/>
    </row>
    <row r="40" spans="1:13" ht="22" customHeight="1" x14ac:dyDescent="0.4">
      <c r="A40" s="55"/>
      <c r="B40" s="54"/>
      <c r="C40" s="53"/>
      <c r="D40" s="53"/>
      <c r="E40" s="53"/>
      <c r="F40" s="53"/>
      <c r="G40" s="53"/>
      <c r="H40" s="53"/>
      <c r="I40" s="53"/>
      <c r="J40" s="59" t="s">
        <v>74</v>
      </c>
      <c r="K40" s="57"/>
      <c r="L40" s="56"/>
      <c r="M40" s="49"/>
    </row>
    <row r="41" spans="1:13" ht="22" customHeight="1" x14ac:dyDescent="0.4">
      <c r="A41" s="55"/>
      <c r="B41" s="54"/>
      <c r="C41" s="53"/>
      <c r="D41" s="53"/>
      <c r="E41" s="53"/>
      <c r="F41" s="53"/>
      <c r="G41" s="53"/>
      <c r="H41" s="53"/>
      <c r="I41" s="53"/>
      <c r="J41" s="58"/>
      <c r="K41" s="57"/>
      <c r="L41" s="56"/>
      <c r="M41" s="49"/>
    </row>
    <row r="42" spans="1:13" ht="22" customHeight="1" x14ac:dyDescent="0.4">
      <c r="A42" s="55"/>
      <c r="B42" s="54"/>
      <c r="C42" s="53"/>
      <c r="D42" s="53"/>
      <c r="E42" s="53"/>
      <c r="F42" s="53"/>
      <c r="G42" s="53"/>
      <c r="H42" s="53"/>
      <c r="I42" s="53"/>
      <c r="J42" s="52"/>
      <c r="K42" s="51"/>
      <c r="L42" s="50"/>
      <c r="M42" s="49"/>
    </row>
    <row r="43" spans="1:13" ht="16.399999999999999" customHeight="1" thickBot="1" x14ac:dyDescent="0.55000000000000004">
      <c r="A43" s="48"/>
      <c r="B43" s="47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5"/>
    </row>
  </sheetData>
  <sheetProtection sheet="1" objects="1" scenarios="1"/>
  <mergeCells count="14">
    <mergeCell ref="B4:E4"/>
    <mergeCell ref="B7:L8"/>
    <mergeCell ref="B9:L10"/>
    <mergeCell ref="F11:I11"/>
    <mergeCell ref="J11:L11"/>
    <mergeCell ref="F19:I19"/>
    <mergeCell ref="F2:I3"/>
    <mergeCell ref="F12:I12"/>
    <mergeCell ref="F13:I13"/>
    <mergeCell ref="F14:I14"/>
    <mergeCell ref="F15:I15"/>
    <mergeCell ref="F16:I16"/>
    <mergeCell ref="F17:I17"/>
    <mergeCell ref="F18:I18"/>
  </mergeCells>
  <printOptions horizontalCentered="1"/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ndSend_Dayworks">
                <anchor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1EB64-0B94-4483-8465-81E54372B121}">
  <sheetPr codeName="Sheet40">
    <pageSetUpPr fitToPage="1"/>
  </sheetPr>
  <dimension ref="A1:M43"/>
  <sheetViews>
    <sheetView workbookViewId="0">
      <selection activeCell="H33" sqref="H3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20" x14ac:dyDescent="0.4">
      <c r="A1" s="99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7"/>
    </row>
    <row r="2" spans="1:13" ht="19" customHeight="1" x14ac:dyDescent="0.4">
      <c r="A2" s="55"/>
      <c r="B2" s="96"/>
      <c r="C2" s="57"/>
      <c r="D2" s="57"/>
      <c r="E2" s="57"/>
      <c r="F2" s="188" t="s">
        <v>104</v>
      </c>
      <c r="G2" s="188"/>
      <c r="H2" s="188"/>
      <c r="I2" s="188"/>
      <c r="J2" s="95">
        <v>45963</v>
      </c>
      <c r="L2" s="57"/>
      <c r="M2" s="49"/>
    </row>
    <row r="3" spans="1:13" ht="19" customHeight="1" x14ac:dyDescent="0.5">
      <c r="A3" s="55"/>
      <c r="B3" s="94"/>
      <c r="C3" s="57"/>
      <c r="D3" s="57"/>
      <c r="E3" s="57"/>
      <c r="F3" s="188"/>
      <c r="G3" s="188"/>
      <c r="H3" s="188"/>
      <c r="I3" s="188"/>
      <c r="J3" s="57"/>
      <c r="K3" s="57"/>
      <c r="L3" s="57"/>
      <c r="M3" s="49"/>
    </row>
    <row r="4" spans="1:13" ht="25" customHeight="1" x14ac:dyDescent="0.5">
      <c r="A4" s="55"/>
      <c r="B4" s="195" t="s">
        <v>103</v>
      </c>
      <c r="C4" s="196"/>
      <c r="D4" s="196"/>
      <c r="E4" s="196"/>
      <c r="F4" s="93"/>
      <c r="G4" s="93"/>
      <c r="H4" s="93"/>
      <c r="I4" s="92"/>
      <c r="J4" s="57"/>
      <c r="K4" s="57"/>
      <c r="L4" s="57"/>
      <c r="M4" s="49"/>
    </row>
    <row r="5" spans="1:13" ht="20" x14ac:dyDescent="0.4">
      <c r="A5" s="55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49"/>
    </row>
    <row r="6" spans="1:13" ht="20" x14ac:dyDescent="0.4">
      <c r="A6" s="55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49"/>
    </row>
    <row r="7" spans="1:13" ht="20" x14ac:dyDescent="0.4">
      <c r="A7" s="55"/>
      <c r="B7" s="197" t="s">
        <v>111</v>
      </c>
      <c r="C7" s="198"/>
      <c r="D7" s="198"/>
      <c r="E7" s="198"/>
      <c r="F7" s="198"/>
      <c r="G7" s="198"/>
      <c r="H7" s="198"/>
      <c r="I7" s="198"/>
      <c r="J7" s="198"/>
      <c r="K7" s="198"/>
      <c r="L7" s="199"/>
      <c r="M7" s="49"/>
    </row>
    <row r="8" spans="1:13" ht="20" x14ac:dyDescent="0.4">
      <c r="A8" s="55"/>
      <c r="B8" s="200"/>
      <c r="C8" s="201"/>
      <c r="D8" s="201"/>
      <c r="E8" s="201"/>
      <c r="F8" s="201"/>
      <c r="G8" s="201"/>
      <c r="H8" s="201"/>
      <c r="I8" s="201"/>
      <c r="J8" s="201"/>
      <c r="K8" s="201"/>
      <c r="L8" s="202"/>
      <c r="M8" s="49"/>
    </row>
    <row r="9" spans="1:13" ht="20" x14ac:dyDescent="0.4">
      <c r="A9" s="55"/>
      <c r="B9" s="203" t="s">
        <v>101</v>
      </c>
      <c r="C9" s="198"/>
      <c r="D9" s="198"/>
      <c r="E9" s="198"/>
      <c r="F9" s="198"/>
      <c r="G9" s="198"/>
      <c r="H9" s="198"/>
      <c r="I9" s="198"/>
      <c r="J9" s="198"/>
      <c r="K9" s="198"/>
      <c r="L9" s="199"/>
      <c r="M9" s="49"/>
    </row>
    <row r="10" spans="1:13" ht="16.399999999999999" customHeight="1" thickBot="1" x14ac:dyDescent="0.45">
      <c r="A10" s="55"/>
      <c r="B10" s="200"/>
      <c r="C10" s="201"/>
      <c r="D10" s="201"/>
      <c r="E10" s="201"/>
      <c r="F10" s="201"/>
      <c r="G10" s="201"/>
      <c r="H10" s="201"/>
      <c r="I10" s="201"/>
      <c r="J10" s="201"/>
      <c r="K10" s="201"/>
      <c r="L10" s="202"/>
      <c r="M10" s="49"/>
    </row>
    <row r="11" spans="1:13" ht="22" customHeight="1" thickBot="1" x14ac:dyDescent="0.55000000000000004">
      <c r="A11" s="55"/>
      <c r="B11" s="91" t="s">
        <v>100</v>
      </c>
      <c r="C11" s="90" t="s">
        <v>99</v>
      </c>
      <c r="D11" s="90" t="s">
        <v>87</v>
      </c>
      <c r="E11" s="89"/>
      <c r="F11" s="204" t="s">
        <v>98</v>
      </c>
      <c r="G11" s="205"/>
      <c r="H11" s="205"/>
      <c r="I11" s="206"/>
      <c r="J11" s="207" t="s">
        <v>97</v>
      </c>
      <c r="K11" s="208"/>
      <c r="L11" s="209"/>
      <c r="M11" s="49"/>
    </row>
    <row r="12" spans="1:13" ht="22" customHeight="1" thickBot="1" x14ac:dyDescent="0.45">
      <c r="A12" s="55"/>
      <c r="B12" s="107" t="s">
        <v>96</v>
      </c>
      <c r="C12" s="108">
        <v>11.5</v>
      </c>
      <c r="D12" s="108"/>
      <c r="E12" s="108"/>
      <c r="F12" s="214" t="s">
        <v>79</v>
      </c>
      <c r="G12" s="215"/>
      <c r="H12" s="215"/>
      <c r="I12" s="216"/>
      <c r="J12" s="53"/>
      <c r="K12" s="53"/>
      <c r="L12" s="60"/>
      <c r="M12" s="49"/>
    </row>
    <row r="13" spans="1:13" ht="22" customHeight="1" thickBot="1" x14ac:dyDescent="0.45">
      <c r="A13" s="55"/>
      <c r="B13" s="109" t="s">
        <v>95</v>
      </c>
      <c r="C13" s="108">
        <v>11.5</v>
      </c>
      <c r="D13" s="68"/>
      <c r="E13" s="68"/>
      <c r="F13" s="214" t="s">
        <v>79</v>
      </c>
      <c r="G13" s="215"/>
      <c r="H13" s="215"/>
      <c r="I13" s="216"/>
      <c r="J13" s="53"/>
      <c r="K13" s="53"/>
      <c r="L13" s="60"/>
      <c r="M13" s="49"/>
    </row>
    <row r="14" spans="1:13" ht="22" customHeight="1" thickBot="1" x14ac:dyDescent="0.45">
      <c r="A14" s="55"/>
      <c r="B14" s="109" t="s">
        <v>94</v>
      </c>
      <c r="C14" s="108">
        <v>11.5</v>
      </c>
      <c r="D14" s="68"/>
      <c r="E14" s="68"/>
      <c r="F14" s="214" t="s">
        <v>79</v>
      </c>
      <c r="G14" s="215"/>
      <c r="H14" s="215"/>
      <c r="I14" s="216"/>
      <c r="J14" s="53"/>
      <c r="K14" s="53"/>
      <c r="L14" s="60"/>
      <c r="M14" s="49"/>
    </row>
    <row r="15" spans="1:13" ht="22" customHeight="1" thickBot="1" x14ac:dyDescent="0.45">
      <c r="A15" s="55"/>
      <c r="B15" s="109"/>
      <c r="C15" s="108"/>
      <c r="D15" s="68"/>
      <c r="E15" s="68"/>
      <c r="F15" s="214"/>
      <c r="G15" s="215"/>
      <c r="H15" s="215"/>
      <c r="I15" s="216"/>
      <c r="J15" s="88"/>
      <c r="K15" s="88"/>
      <c r="L15" s="87"/>
      <c r="M15" s="49"/>
    </row>
    <row r="16" spans="1:13" ht="22" customHeight="1" thickBot="1" x14ac:dyDescent="0.45">
      <c r="A16" s="55"/>
      <c r="B16" s="109" t="s">
        <v>93</v>
      </c>
      <c r="C16" s="108">
        <v>11.5</v>
      </c>
      <c r="D16" s="68"/>
      <c r="E16" s="68"/>
      <c r="F16" s="214" t="s">
        <v>79</v>
      </c>
      <c r="G16" s="215"/>
      <c r="H16" s="215"/>
      <c r="I16" s="216"/>
      <c r="J16" s="88"/>
      <c r="K16" s="88"/>
      <c r="L16" s="87"/>
      <c r="M16" s="49"/>
    </row>
    <row r="17" spans="1:13" ht="22" customHeight="1" x14ac:dyDescent="0.4">
      <c r="A17" s="55"/>
      <c r="B17" s="109" t="s">
        <v>92</v>
      </c>
      <c r="C17" s="108">
        <v>11.5</v>
      </c>
      <c r="D17" s="68"/>
      <c r="E17" s="110"/>
      <c r="F17" s="214" t="s">
        <v>79</v>
      </c>
      <c r="G17" s="215"/>
      <c r="H17" s="215"/>
      <c r="I17" s="216"/>
      <c r="J17" s="86"/>
      <c r="K17" s="86"/>
      <c r="L17" s="85"/>
      <c r="M17" s="49"/>
    </row>
    <row r="18" spans="1:13" ht="22" customHeight="1" x14ac:dyDescent="0.5">
      <c r="A18" s="55"/>
      <c r="B18" s="109"/>
      <c r="C18" s="68"/>
      <c r="D18" s="68"/>
      <c r="E18" s="110"/>
      <c r="F18" s="210"/>
      <c r="G18" s="208"/>
      <c r="H18" s="208"/>
      <c r="I18" s="209"/>
      <c r="J18" s="63"/>
      <c r="K18" s="63"/>
      <c r="L18" s="62"/>
      <c r="M18" s="49"/>
    </row>
    <row r="19" spans="1:13" ht="22" customHeight="1" thickBot="1" x14ac:dyDescent="0.55000000000000004">
      <c r="A19" s="55"/>
      <c r="B19" s="111"/>
      <c r="C19" s="66"/>
      <c r="D19" s="66"/>
      <c r="E19" s="112"/>
      <c r="F19" s="211"/>
      <c r="G19" s="212"/>
      <c r="H19" s="212"/>
      <c r="I19" s="213"/>
      <c r="J19" s="63"/>
      <c r="K19" s="63"/>
      <c r="L19" s="62"/>
      <c r="M19" s="49"/>
    </row>
    <row r="20" spans="1:13" ht="22" customHeight="1" thickBot="1" x14ac:dyDescent="0.55000000000000004">
      <c r="A20" s="55"/>
      <c r="B20" s="113" t="s">
        <v>91</v>
      </c>
      <c r="C20" s="90" t="s">
        <v>90</v>
      </c>
      <c r="D20" s="90" t="s">
        <v>89</v>
      </c>
      <c r="E20" s="90" t="s">
        <v>88</v>
      </c>
      <c r="F20" s="90" t="s">
        <v>87</v>
      </c>
      <c r="G20" s="89" t="s">
        <v>86</v>
      </c>
      <c r="H20" s="89" t="s">
        <v>110</v>
      </c>
      <c r="I20" s="114"/>
      <c r="J20" s="51"/>
      <c r="K20" s="51"/>
      <c r="L20" s="50"/>
      <c r="M20" s="49"/>
    </row>
    <row r="21" spans="1:13" ht="22" customHeight="1" x14ac:dyDescent="0.4">
      <c r="A21" s="55"/>
      <c r="B21" s="107" t="s">
        <v>85</v>
      </c>
      <c r="C21" s="115">
        <v>11746</v>
      </c>
      <c r="D21" s="115">
        <v>11748.1</v>
      </c>
      <c r="E21" s="68">
        <f t="shared" ref="E21:E26" si="0">D21-C21</f>
        <v>2.1000000000003638</v>
      </c>
      <c r="F21" s="108">
        <f>11-E21</f>
        <v>8.8999999999996362</v>
      </c>
      <c r="G21" s="108"/>
      <c r="H21" s="108"/>
      <c r="I21" s="116" t="s">
        <v>79</v>
      </c>
      <c r="J21" s="51"/>
      <c r="K21" s="51"/>
      <c r="L21" s="50"/>
      <c r="M21" s="49"/>
    </row>
    <row r="22" spans="1:13" ht="22" customHeight="1" x14ac:dyDescent="0.4">
      <c r="A22" s="55"/>
      <c r="B22" s="109" t="s">
        <v>84</v>
      </c>
      <c r="C22" s="115">
        <v>3568</v>
      </c>
      <c r="D22" s="115">
        <v>3575</v>
      </c>
      <c r="E22" s="68">
        <f t="shared" si="0"/>
        <v>7</v>
      </c>
      <c r="F22" s="108">
        <f>11-E22</f>
        <v>4</v>
      </c>
      <c r="G22" s="68"/>
      <c r="H22" s="68"/>
      <c r="I22" s="110" t="s">
        <v>79</v>
      </c>
      <c r="J22" s="53"/>
      <c r="K22" s="53"/>
      <c r="L22" s="60"/>
      <c r="M22" s="49"/>
    </row>
    <row r="23" spans="1:13" ht="22" customHeight="1" x14ac:dyDescent="0.4">
      <c r="A23" s="55"/>
      <c r="B23" s="109" t="s">
        <v>83</v>
      </c>
      <c r="C23" s="115">
        <v>4075</v>
      </c>
      <c r="D23" s="115">
        <v>4083</v>
      </c>
      <c r="E23" s="68">
        <f t="shared" si="0"/>
        <v>8</v>
      </c>
      <c r="F23" s="108">
        <f>11-E23</f>
        <v>3</v>
      </c>
      <c r="G23" s="68"/>
      <c r="H23" s="68"/>
      <c r="I23" s="110" t="s">
        <v>79</v>
      </c>
      <c r="J23" s="53"/>
      <c r="K23" s="53"/>
      <c r="L23" s="60"/>
      <c r="M23" s="49"/>
    </row>
    <row r="24" spans="1:13" ht="22" customHeight="1" thickBot="1" x14ac:dyDescent="0.45">
      <c r="A24" s="55"/>
      <c r="B24" s="109" t="s">
        <v>82</v>
      </c>
      <c r="C24" s="68"/>
      <c r="D24" s="68"/>
      <c r="E24" s="68">
        <f t="shared" si="0"/>
        <v>0</v>
      </c>
      <c r="F24" s="108"/>
      <c r="G24" s="108">
        <v>11</v>
      </c>
      <c r="H24" s="108"/>
      <c r="I24" s="110" t="s">
        <v>38</v>
      </c>
      <c r="J24" s="53"/>
      <c r="K24" s="53"/>
      <c r="L24" s="60"/>
      <c r="M24" s="49"/>
    </row>
    <row r="25" spans="1:13" ht="22" customHeight="1" x14ac:dyDescent="0.4">
      <c r="A25" s="55"/>
      <c r="B25" s="109" t="s">
        <v>81</v>
      </c>
      <c r="C25" s="117">
        <v>7622.2</v>
      </c>
      <c r="D25" s="117">
        <v>7630.7</v>
      </c>
      <c r="E25" s="68">
        <f t="shared" si="0"/>
        <v>8.5</v>
      </c>
      <c r="F25" s="108">
        <f>11-E25</f>
        <v>2.5</v>
      </c>
      <c r="G25" s="68"/>
      <c r="H25" s="68"/>
      <c r="I25" s="110" t="s">
        <v>79</v>
      </c>
      <c r="J25" s="53"/>
      <c r="K25" s="53"/>
      <c r="L25" s="60"/>
      <c r="M25" s="49"/>
    </row>
    <row r="26" spans="1:13" ht="22" customHeight="1" x14ac:dyDescent="0.4">
      <c r="A26" s="55"/>
      <c r="B26" s="109" t="s">
        <v>80</v>
      </c>
      <c r="C26" s="115">
        <v>3972</v>
      </c>
      <c r="D26" s="115">
        <v>3982</v>
      </c>
      <c r="E26" s="68">
        <f t="shared" si="0"/>
        <v>10</v>
      </c>
      <c r="F26" s="108">
        <f>11-E26</f>
        <v>1</v>
      </c>
      <c r="G26" s="68"/>
      <c r="H26" s="68"/>
      <c r="I26" s="110" t="s">
        <v>79</v>
      </c>
      <c r="J26" s="53"/>
      <c r="K26" s="53"/>
      <c r="L26" s="60"/>
      <c r="M26" s="49"/>
    </row>
    <row r="27" spans="1:13" ht="22" customHeight="1" x14ac:dyDescent="0.4">
      <c r="A27" s="55"/>
      <c r="B27" s="109" t="s">
        <v>7</v>
      </c>
      <c r="C27" s="115"/>
      <c r="D27" s="115"/>
      <c r="E27" s="68">
        <v>1</v>
      </c>
      <c r="F27" s="108">
        <f>11-E27</f>
        <v>10</v>
      </c>
      <c r="G27" s="68"/>
      <c r="H27" s="68"/>
      <c r="I27" s="110" t="s">
        <v>79</v>
      </c>
      <c r="J27" s="53"/>
      <c r="K27" s="53"/>
      <c r="L27" s="60"/>
      <c r="M27" s="49"/>
    </row>
    <row r="28" spans="1:13" ht="22" customHeight="1" x14ac:dyDescent="0.4">
      <c r="A28" s="55"/>
      <c r="B28" s="73" t="s">
        <v>9</v>
      </c>
      <c r="C28" s="115"/>
      <c r="D28" s="115"/>
      <c r="E28" s="68">
        <v>11</v>
      </c>
      <c r="F28" s="108">
        <f>11-E28</f>
        <v>0</v>
      </c>
      <c r="G28" s="68"/>
      <c r="H28" s="104"/>
      <c r="I28" s="54"/>
      <c r="J28" s="53"/>
      <c r="K28" s="53"/>
      <c r="L28" s="60"/>
      <c r="M28" s="49"/>
    </row>
    <row r="29" spans="1:13" ht="22" customHeight="1" x14ac:dyDescent="0.4">
      <c r="A29" s="55"/>
      <c r="B29" s="73" t="s">
        <v>10</v>
      </c>
      <c r="C29" s="115"/>
      <c r="D29" s="115"/>
      <c r="E29" s="68">
        <v>11</v>
      </c>
      <c r="F29" s="108"/>
      <c r="G29" s="68"/>
      <c r="H29" s="104"/>
      <c r="I29" s="54"/>
      <c r="J29" s="53"/>
      <c r="K29" s="53"/>
      <c r="L29" s="60"/>
      <c r="M29" s="49"/>
    </row>
    <row r="30" spans="1:13" ht="22" customHeight="1" x14ac:dyDescent="0.4">
      <c r="A30" s="55"/>
      <c r="B30" s="73" t="s">
        <v>11</v>
      </c>
      <c r="C30" s="68"/>
      <c r="D30" s="68"/>
      <c r="E30" s="68"/>
      <c r="F30" s="68"/>
      <c r="G30" s="68"/>
      <c r="H30" s="104"/>
      <c r="I30" s="67"/>
      <c r="J30" s="53"/>
      <c r="K30" s="53"/>
      <c r="L30" s="60"/>
      <c r="M30" s="49"/>
    </row>
    <row r="31" spans="1:13" ht="22" customHeight="1" x14ac:dyDescent="0.4">
      <c r="A31" s="55"/>
      <c r="B31" s="73" t="s">
        <v>21</v>
      </c>
      <c r="C31" s="68"/>
      <c r="D31" s="68"/>
      <c r="E31" s="68"/>
      <c r="F31" s="68"/>
      <c r="G31" s="68"/>
      <c r="H31" s="104">
        <v>1</v>
      </c>
      <c r="I31" s="67"/>
      <c r="J31" s="53"/>
      <c r="K31" s="53"/>
      <c r="L31" s="60"/>
      <c r="M31" s="49"/>
    </row>
    <row r="32" spans="1:13" ht="22" customHeight="1" thickBot="1" x14ac:dyDescent="0.45">
      <c r="A32" s="55"/>
      <c r="B32" s="73" t="s">
        <v>22</v>
      </c>
      <c r="C32" s="66"/>
      <c r="D32" s="66"/>
      <c r="E32" s="66"/>
      <c r="F32" s="66"/>
      <c r="G32" s="66"/>
      <c r="H32" s="106">
        <v>1</v>
      </c>
      <c r="I32" s="65"/>
      <c r="J32" s="53"/>
      <c r="K32" s="53"/>
      <c r="L32" s="60"/>
      <c r="M32" s="49"/>
    </row>
    <row r="33" spans="1:13" ht="22" customHeight="1" x14ac:dyDescent="0.4">
      <c r="A33" s="55"/>
      <c r="B33" s="64" t="s">
        <v>78</v>
      </c>
      <c r="C33" s="51"/>
      <c r="D33" s="51"/>
      <c r="E33" s="51"/>
      <c r="F33" s="51"/>
      <c r="G33" s="51"/>
      <c r="H33" s="51"/>
      <c r="I33" s="50"/>
      <c r="J33" s="64"/>
      <c r="K33" s="63"/>
      <c r="L33" s="62"/>
      <c r="M33" s="49"/>
    </row>
    <row r="34" spans="1:13" ht="22" customHeight="1" x14ac:dyDescent="0.4">
      <c r="A34" s="55"/>
      <c r="B34" s="54"/>
      <c r="C34" s="53"/>
      <c r="D34" s="53"/>
      <c r="E34" s="53"/>
      <c r="F34" s="53"/>
      <c r="G34" s="53"/>
      <c r="H34" s="53"/>
      <c r="I34" s="60"/>
      <c r="J34" s="54"/>
      <c r="K34" s="53"/>
      <c r="L34" s="60"/>
      <c r="M34" s="49"/>
    </row>
    <row r="35" spans="1:13" ht="22" customHeight="1" x14ac:dyDescent="0.4">
      <c r="A35" s="55"/>
      <c r="B35" s="54"/>
      <c r="C35" s="53"/>
      <c r="D35" s="53"/>
      <c r="E35" s="53"/>
      <c r="F35" s="53"/>
      <c r="G35" s="53"/>
      <c r="H35" s="53"/>
      <c r="I35" s="53"/>
      <c r="J35" s="61" t="s">
        <v>77</v>
      </c>
      <c r="K35" s="53"/>
      <c r="L35" s="60"/>
      <c r="M35" s="49"/>
    </row>
    <row r="36" spans="1:13" ht="22" customHeight="1" x14ac:dyDescent="0.4">
      <c r="A36" s="55"/>
      <c r="B36" s="54"/>
      <c r="C36" s="53"/>
      <c r="D36" s="53"/>
      <c r="E36" s="53"/>
      <c r="F36" s="53"/>
      <c r="G36" s="53"/>
      <c r="H36" s="53"/>
      <c r="I36" s="53"/>
      <c r="J36" s="59" t="s">
        <v>74</v>
      </c>
      <c r="K36" s="57"/>
      <c r="L36" s="56"/>
      <c r="M36" s="49"/>
    </row>
    <row r="37" spans="1:13" ht="22" customHeight="1" x14ac:dyDescent="0.4">
      <c r="A37" s="55"/>
      <c r="B37" s="61" t="s">
        <v>76</v>
      </c>
      <c r="C37" s="53"/>
      <c r="D37" s="53"/>
      <c r="E37" s="53"/>
      <c r="F37" s="53"/>
      <c r="G37" s="53"/>
      <c r="H37" s="53"/>
      <c r="I37" s="53"/>
      <c r="J37" s="58"/>
      <c r="K37" s="57"/>
      <c r="L37" s="56"/>
      <c r="M37" s="49"/>
    </row>
    <row r="38" spans="1:13" ht="22" customHeight="1" x14ac:dyDescent="0.4">
      <c r="A38" s="55"/>
      <c r="B38" s="54"/>
      <c r="C38" s="53"/>
      <c r="D38" s="53"/>
      <c r="E38" s="53"/>
      <c r="F38" s="53"/>
      <c r="G38" s="53"/>
      <c r="H38" s="53"/>
      <c r="I38" s="53"/>
      <c r="J38" s="52"/>
      <c r="K38" s="51"/>
      <c r="L38" s="50"/>
      <c r="M38" s="49"/>
    </row>
    <row r="39" spans="1:13" ht="22" customHeight="1" x14ac:dyDescent="0.4">
      <c r="A39" s="55"/>
      <c r="B39" s="54"/>
      <c r="C39" s="53"/>
      <c r="D39" s="53"/>
      <c r="E39" s="53"/>
      <c r="F39" s="53"/>
      <c r="G39" s="53"/>
      <c r="H39" s="53"/>
      <c r="I39" s="53"/>
      <c r="J39" s="61" t="s">
        <v>75</v>
      </c>
      <c r="K39" s="53"/>
      <c r="L39" s="60"/>
      <c r="M39" s="49"/>
    </row>
    <row r="40" spans="1:13" ht="22" customHeight="1" x14ac:dyDescent="0.4">
      <c r="A40" s="55"/>
      <c r="B40" s="54"/>
      <c r="C40" s="53"/>
      <c r="D40" s="53"/>
      <c r="E40" s="53"/>
      <c r="F40" s="53"/>
      <c r="G40" s="53"/>
      <c r="H40" s="53"/>
      <c r="I40" s="53"/>
      <c r="J40" s="59" t="s">
        <v>74</v>
      </c>
      <c r="K40" s="57"/>
      <c r="L40" s="56"/>
      <c r="M40" s="49"/>
    </row>
    <row r="41" spans="1:13" ht="22" customHeight="1" x14ac:dyDescent="0.4">
      <c r="A41" s="55"/>
      <c r="B41" s="54"/>
      <c r="C41" s="53"/>
      <c r="D41" s="53"/>
      <c r="E41" s="53"/>
      <c r="F41" s="53"/>
      <c r="G41" s="53"/>
      <c r="H41" s="53"/>
      <c r="I41" s="53"/>
      <c r="J41" s="58"/>
      <c r="K41" s="57"/>
      <c r="L41" s="56"/>
      <c r="M41" s="49"/>
    </row>
    <row r="42" spans="1:13" ht="22" customHeight="1" x14ac:dyDescent="0.4">
      <c r="A42" s="55"/>
      <c r="B42" s="54"/>
      <c r="C42" s="53"/>
      <c r="D42" s="53"/>
      <c r="E42" s="53"/>
      <c r="F42" s="53"/>
      <c r="G42" s="53"/>
      <c r="H42" s="53"/>
      <c r="I42" s="53"/>
      <c r="J42" s="52"/>
      <c r="K42" s="51"/>
      <c r="L42" s="50"/>
      <c r="M42" s="49"/>
    </row>
    <row r="43" spans="1:13" ht="16.399999999999999" customHeight="1" thickBot="1" x14ac:dyDescent="0.55000000000000004">
      <c r="A43" s="48"/>
      <c r="B43" s="47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5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aveAndSend_Dayworks">
                <anchor>
                  <from>
                    <xdr:col>12</xdr:col>
                    <xdr:colOff>215900</xdr:colOff>
                    <xdr:row>8</xdr:row>
                    <xdr:rowOff>152400</xdr:rowOff>
                  </from>
                  <to>
                    <xdr:col>17</xdr:col>
                    <xdr:colOff>101600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7A35-A86D-4E20-9279-37BF3E5AEECF}">
  <sheetPr codeName="Sheet41">
    <pageSetUpPr fitToPage="1"/>
  </sheetPr>
  <dimension ref="A1:M46"/>
  <sheetViews>
    <sheetView workbookViewId="0">
      <selection activeCell="H33" sqref="H3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20" x14ac:dyDescent="0.4">
      <c r="A1" s="99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7"/>
    </row>
    <row r="2" spans="1:13" ht="19" customHeight="1" x14ac:dyDescent="0.4">
      <c r="A2" s="55"/>
      <c r="B2" s="96"/>
      <c r="C2" s="57"/>
      <c r="D2" s="57"/>
      <c r="E2" s="57"/>
      <c r="F2" s="188" t="s">
        <v>104</v>
      </c>
      <c r="G2" s="188"/>
      <c r="H2" s="188"/>
      <c r="I2" s="188"/>
      <c r="J2" s="95">
        <v>45964</v>
      </c>
      <c r="L2" s="57"/>
      <c r="M2" s="49"/>
    </row>
    <row r="3" spans="1:13" ht="19" customHeight="1" x14ac:dyDescent="0.5">
      <c r="A3" s="55"/>
      <c r="B3" s="94"/>
      <c r="C3" s="57"/>
      <c r="D3" s="57"/>
      <c r="E3" s="57"/>
      <c r="F3" s="188"/>
      <c r="G3" s="188"/>
      <c r="H3" s="188"/>
      <c r="I3" s="188"/>
      <c r="J3" s="57"/>
      <c r="K3" s="57"/>
      <c r="L3" s="57"/>
      <c r="M3" s="49"/>
    </row>
    <row r="4" spans="1:13" ht="25" customHeight="1" x14ac:dyDescent="0.5">
      <c r="A4" s="55"/>
      <c r="B4" s="195" t="s">
        <v>103</v>
      </c>
      <c r="C4" s="196"/>
      <c r="D4" s="196"/>
      <c r="E4" s="196"/>
      <c r="F4" s="93"/>
      <c r="G4" s="93"/>
      <c r="H4" s="93"/>
      <c r="I4" s="92"/>
      <c r="J4" s="57"/>
      <c r="K4" s="57"/>
      <c r="L4" s="57"/>
      <c r="M4" s="49"/>
    </row>
    <row r="5" spans="1:13" ht="20" x14ac:dyDescent="0.4">
      <c r="A5" s="55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49"/>
    </row>
    <row r="6" spans="1:13" ht="20" x14ac:dyDescent="0.4">
      <c r="A6" s="55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49"/>
    </row>
    <row r="7" spans="1:13" ht="20" x14ac:dyDescent="0.4">
      <c r="A7" s="55"/>
      <c r="B7" s="197" t="s">
        <v>112</v>
      </c>
      <c r="C7" s="198"/>
      <c r="D7" s="198"/>
      <c r="E7" s="198"/>
      <c r="F7" s="198"/>
      <c r="G7" s="198"/>
      <c r="H7" s="198"/>
      <c r="I7" s="198"/>
      <c r="J7" s="198"/>
      <c r="K7" s="198"/>
      <c r="L7" s="199"/>
      <c r="M7" s="49"/>
    </row>
    <row r="8" spans="1:13" ht="20" x14ac:dyDescent="0.4">
      <c r="A8" s="55"/>
      <c r="B8" s="200"/>
      <c r="C8" s="201"/>
      <c r="D8" s="201"/>
      <c r="E8" s="201"/>
      <c r="F8" s="201"/>
      <c r="G8" s="201"/>
      <c r="H8" s="201"/>
      <c r="I8" s="201"/>
      <c r="J8" s="201"/>
      <c r="K8" s="201"/>
      <c r="L8" s="202"/>
      <c r="M8" s="49"/>
    </row>
    <row r="9" spans="1:13" ht="20" x14ac:dyDescent="0.4">
      <c r="A9" s="55"/>
      <c r="B9" s="203" t="s">
        <v>101</v>
      </c>
      <c r="C9" s="198"/>
      <c r="D9" s="198"/>
      <c r="E9" s="198"/>
      <c r="F9" s="198"/>
      <c r="G9" s="198"/>
      <c r="H9" s="198"/>
      <c r="I9" s="198"/>
      <c r="J9" s="198"/>
      <c r="K9" s="198"/>
      <c r="L9" s="199"/>
      <c r="M9" s="49"/>
    </row>
    <row r="10" spans="1:13" ht="16.399999999999999" customHeight="1" thickBot="1" x14ac:dyDescent="0.45">
      <c r="A10" s="55"/>
      <c r="B10" s="200"/>
      <c r="C10" s="201"/>
      <c r="D10" s="201"/>
      <c r="E10" s="201"/>
      <c r="F10" s="201"/>
      <c r="G10" s="201"/>
      <c r="H10" s="201"/>
      <c r="I10" s="201"/>
      <c r="J10" s="201"/>
      <c r="K10" s="201"/>
      <c r="L10" s="202"/>
      <c r="M10" s="49"/>
    </row>
    <row r="11" spans="1:13" ht="22" customHeight="1" thickBot="1" x14ac:dyDescent="0.55000000000000004">
      <c r="A11" s="55"/>
      <c r="B11" s="91" t="s">
        <v>100</v>
      </c>
      <c r="C11" s="90" t="s">
        <v>99</v>
      </c>
      <c r="D11" s="90" t="s">
        <v>87</v>
      </c>
      <c r="E11" s="89"/>
      <c r="F11" s="204" t="s">
        <v>98</v>
      </c>
      <c r="G11" s="205"/>
      <c r="H11" s="205"/>
      <c r="I11" s="206"/>
      <c r="J11" s="207" t="s">
        <v>97</v>
      </c>
      <c r="K11" s="208"/>
      <c r="L11" s="209"/>
      <c r="M11" s="49"/>
    </row>
    <row r="12" spans="1:13" ht="22" customHeight="1" thickBot="1" x14ac:dyDescent="0.45">
      <c r="A12" s="55"/>
      <c r="B12" s="107" t="s">
        <v>96</v>
      </c>
      <c r="C12" s="108">
        <v>11.5</v>
      </c>
      <c r="D12" s="108"/>
      <c r="E12" s="108"/>
      <c r="F12" s="217" t="s">
        <v>113</v>
      </c>
      <c r="G12" s="218"/>
      <c r="H12" s="218"/>
      <c r="I12" s="219"/>
      <c r="J12" s="53"/>
      <c r="K12" s="53"/>
      <c r="L12" s="60"/>
      <c r="M12" s="49"/>
    </row>
    <row r="13" spans="1:13" ht="22" customHeight="1" thickBot="1" x14ac:dyDescent="0.45">
      <c r="A13" s="55"/>
      <c r="B13" s="109" t="s">
        <v>95</v>
      </c>
      <c r="C13" s="108">
        <v>11.5</v>
      </c>
      <c r="D13" s="68"/>
      <c r="E13" s="68"/>
      <c r="F13" s="217" t="s">
        <v>113</v>
      </c>
      <c r="G13" s="218"/>
      <c r="H13" s="218"/>
      <c r="I13" s="219"/>
      <c r="J13" s="53"/>
      <c r="K13" s="53"/>
      <c r="L13" s="60"/>
      <c r="M13" s="49"/>
    </row>
    <row r="14" spans="1:13" ht="22" customHeight="1" thickBot="1" x14ac:dyDescent="0.45">
      <c r="A14" s="55"/>
      <c r="B14" s="109" t="s">
        <v>94</v>
      </c>
      <c r="C14" s="108">
        <v>11.5</v>
      </c>
      <c r="D14" s="68"/>
      <c r="E14" s="68"/>
      <c r="F14" s="217" t="s">
        <v>113</v>
      </c>
      <c r="G14" s="218"/>
      <c r="H14" s="218"/>
      <c r="I14" s="219"/>
      <c r="J14" s="53"/>
      <c r="K14" s="53"/>
      <c r="L14" s="60"/>
      <c r="M14" s="49"/>
    </row>
    <row r="15" spans="1:13" ht="22" customHeight="1" thickBot="1" x14ac:dyDescent="0.45">
      <c r="A15" s="55"/>
      <c r="B15" s="109"/>
      <c r="C15" s="108"/>
      <c r="D15" s="68"/>
      <c r="E15" s="68"/>
      <c r="F15" s="214"/>
      <c r="G15" s="215"/>
      <c r="H15" s="215"/>
      <c r="I15" s="216"/>
      <c r="J15" s="88"/>
      <c r="K15" s="88"/>
      <c r="L15" s="87"/>
      <c r="M15" s="49"/>
    </row>
    <row r="16" spans="1:13" ht="22" customHeight="1" thickBot="1" x14ac:dyDescent="0.45">
      <c r="A16" s="55"/>
      <c r="B16" s="109" t="s">
        <v>93</v>
      </c>
      <c r="C16" s="108">
        <v>11.5</v>
      </c>
      <c r="D16" s="68"/>
      <c r="E16" s="68"/>
      <c r="F16" s="214" t="s">
        <v>113</v>
      </c>
      <c r="G16" s="215"/>
      <c r="H16" s="215"/>
      <c r="I16" s="216"/>
      <c r="J16" s="88"/>
      <c r="K16" s="88"/>
      <c r="L16" s="87"/>
      <c r="M16" s="49"/>
    </row>
    <row r="17" spans="1:13" ht="22" customHeight="1" x14ac:dyDescent="0.4">
      <c r="A17" s="55"/>
      <c r="B17" s="109" t="s">
        <v>92</v>
      </c>
      <c r="C17" s="108">
        <v>11.5</v>
      </c>
      <c r="D17" s="68"/>
      <c r="E17" s="110"/>
      <c r="F17" s="214" t="s">
        <v>113</v>
      </c>
      <c r="G17" s="215"/>
      <c r="H17" s="215"/>
      <c r="I17" s="216"/>
      <c r="J17" s="86"/>
      <c r="K17" s="86"/>
      <c r="L17" s="85"/>
      <c r="M17" s="49"/>
    </row>
    <row r="18" spans="1:13" ht="22" customHeight="1" x14ac:dyDescent="0.5">
      <c r="A18" s="55"/>
      <c r="B18" s="109"/>
      <c r="C18" s="68"/>
      <c r="D18" s="68"/>
      <c r="E18" s="110"/>
      <c r="F18" s="210"/>
      <c r="G18" s="208"/>
      <c r="H18" s="208"/>
      <c r="I18" s="209"/>
      <c r="J18" s="63"/>
      <c r="K18" s="63"/>
      <c r="L18" s="62"/>
      <c r="M18" s="49"/>
    </row>
    <row r="19" spans="1:13" ht="22" customHeight="1" thickBot="1" x14ac:dyDescent="0.55000000000000004">
      <c r="A19" s="55"/>
      <c r="B19" s="111"/>
      <c r="C19" s="66"/>
      <c r="D19" s="66"/>
      <c r="E19" s="112"/>
      <c r="F19" s="211"/>
      <c r="G19" s="212"/>
      <c r="H19" s="212"/>
      <c r="I19" s="213"/>
      <c r="J19" s="63"/>
      <c r="K19" s="63"/>
      <c r="L19" s="62"/>
      <c r="M19" s="49"/>
    </row>
    <row r="20" spans="1:13" ht="22" customHeight="1" thickBot="1" x14ac:dyDescent="0.55000000000000004">
      <c r="A20" s="55"/>
      <c r="B20" s="113" t="s">
        <v>91</v>
      </c>
      <c r="C20" s="90" t="s">
        <v>90</v>
      </c>
      <c r="D20" s="90" t="s">
        <v>89</v>
      </c>
      <c r="E20" s="90" t="s">
        <v>88</v>
      </c>
      <c r="F20" s="90" t="s">
        <v>87</v>
      </c>
      <c r="G20" s="89" t="s">
        <v>86</v>
      </c>
      <c r="H20" s="89" t="s">
        <v>110</v>
      </c>
      <c r="I20" s="114"/>
      <c r="J20" s="51"/>
      <c r="K20" s="51"/>
      <c r="L20" s="50"/>
      <c r="M20" s="49"/>
    </row>
    <row r="21" spans="1:13" ht="22" customHeight="1" thickBot="1" x14ac:dyDescent="0.45">
      <c r="A21" s="55"/>
      <c r="B21" s="107" t="s">
        <v>85</v>
      </c>
      <c r="C21" s="72">
        <v>11748.1</v>
      </c>
      <c r="D21" s="72">
        <v>11748.3</v>
      </c>
      <c r="E21" s="68">
        <f t="shared" ref="E21:E27" si="0">D21-C21</f>
        <v>0.19999999999890861</v>
      </c>
      <c r="F21" s="108">
        <f>11-E21</f>
        <v>10.800000000001091</v>
      </c>
      <c r="G21" s="108"/>
      <c r="H21" s="108"/>
      <c r="I21" s="118" t="s">
        <v>113</v>
      </c>
      <c r="J21" s="51"/>
      <c r="K21" s="51"/>
      <c r="L21" s="50"/>
      <c r="M21" s="49"/>
    </row>
    <row r="22" spans="1:13" ht="22" customHeight="1" thickBot="1" x14ac:dyDescent="0.45">
      <c r="A22" s="55"/>
      <c r="B22" s="109" t="s">
        <v>84</v>
      </c>
      <c r="C22" s="72">
        <v>3575</v>
      </c>
      <c r="D22" s="72">
        <v>3583</v>
      </c>
      <c r="E22" s="68">
        <f t="shared" si="0"/>
        <v>8</v>
      </c>
      <c r="F22" s="108">
        <f>11-E22</f>
        <v>3</v>
      </c>
      <c r="G22" s="68"/>
      <c r="H22" s="108"/>
      <c r="I22" s="118" t="s">
        <v>113</v>
      </c>
      <c r="J22" s="53"/>
      <c r="K22" s="53"/>
      <c r="L22" s="60"/>
      <c r="M22" s="49"/>
    </row>
    <row r="23" spans="1:13" ht="22" customHeight="1" x14ac:dyDescent="0.4">
      <c r="A23" s="55"/>
      <c r="B23" s="109" t="s">
        <v>83</v>
      </c>
      <c r="C23" s="72">
        <v>4083</v>
      </c>
      <c r="D23" s="72">
        <v>4091</v>
      </c>
      <c r="E23" s="68">
        <f t="shared" si="0"/>
        <v>8</v>
      </c>
      <c r="F23" s="108">
        <f>11-E23</f>
        <v>3</v>
      </c>
      <c r="G23" s="68"/>
      <c r="H23" s="108"/>
      <c r="I23" s="118" t="s">
        <v>113</v>
      </c>
      <c r="J23" s="53"/>
      <c r="K23" s="53"/>
      <c r="L23" s="60"/>
      <c r="M23" s="49"/>
    </row>
    <row r="24" spans="1:13" ht="22" customHeight="1" thickBot="1" x14ac:dyDescent="0.45">
      <c r="A24" s="55"/>
      <c r="B24" s="109" t="s">
        <v>82</v>
      </c>
      <c r="C24" s="68"/>
      <c r="D24" s="68"/>
      <c r="E24" s="68">
        <f t="shared" si="0"/>
        <v>0</v>
      </c>
      <c r="F24" s="108"/>
      <c r="G24" s="108">
        <v>11</v>
      </c>
      <c r="H24" s="108"/>
      <c r="I24" s="110" t="s">
        <v>38</v>
      </c>
      <c r="J24" s="53"/>
      <c r="K24" s="53"/>
      <c r="L24" s="60"/>
      <c r="M24" s="49"/>
    </row>
    <row r="25" spans="1:13" ht="22" customHeight="1" thickBot="1" x14ac:dyDescent="0.45">
      <c r="A25" s="55"/>
      <c r="B25" s="109" t="s">
        <v>81</v>
      </c>
      <c r="C25" s="72">
        <v>7630.7</v>
      </c>
      <c r="D25" s="72">
        <v>7639.8</v>
      </c>
      <c r="E25" s="68">
        <f t="shared" si="0"/>
        <v>9.1000000000003638</v>
      </c>
      <c r="F25" s="108">
        <f>11-E25</f>
        <v>1.8999999999996362</v>
      </c>
      <c r="G25" s="68"/>
      <c r="H25" s="108"/>
      <c r="I25" s="118" t="s">
        <v>113</v>
      </c>
      <c r="J25" s="53"/>
      <c r="K25" s="53"/>
      <c r="L25" s="60"/>
      <c r="M25" s="49"/>
    </row>
    <row r="26" spans="1:13" ht="22" customHeight="1" thickBot="1" x14ac:dyDescent="0.45">
      <c r="A26" s="55"/>
      <c r="B26" s="109" t="s">
        <v>80</v>
      </c>
      <c r="C26" s="72">
        <v>3982</v>
      </c>
      <c r="D26" s="72">
        <v>3989</v>
      </c>
      <c r="E26" s="68">
        <f t="shared" si="0"/>
        <v>7</v>
      </c>
      <c r="F26" s="108">
        <f>11-E26</f>
        <v>4</v>
      </c>
      <c r="G26" s="68"/>
      <c r="H26" s="108"/>
      <c r="I26" s="118" t="s">
        <v>113</v>
      </c>
      <c r="J26" s="53"/>
      <c r="K26" s="53"/>
      <c r="L26" s="60"/>
      <c r="M26" s="49"/>
    </row>
    <row r="27" spans="1:13" ht="22" customHeight="1" x14ac:dyDescent="0.4">
      <c r="A27" s="55"/>
      <c r="B27" s="109" t="s">
        <v>7</v>
      </c>
      <c r="C27" s="72">
        <v>4528</v>
      </c>
      <c r="D27" s="72">
        <v>4530</v>
      </c>
      <c r="E27" s="68">
        <f t="shared" si="0"/>
        <v>2</v>
      </c>
      <c r="F27" s="108">
        <f>11-E27</f>
        <v>9</v>
      </c>
      <c r="G27" s="68"/>
      <c r="H27" s="108"/>
      <c r="I27" s="118" t="s">
        <v>113</v>
      </c>
      <c r="J27" s="53"/>
      <c r="K27" s="53"/>
      <c r="L27" s="60"/>
      <c r="M27" s="49"/>
    </row>
    <row r="28" spans="1:13" s="73" customFormat="1" ht="22" customHeight="1" x14ac:dyDescent="0.35">
      <c r="B28" s="73" t="s">
        <v>9</v>
      </c>
      <c r="E28" s="73">
        <v>11</v>
      </c>
    </row>
    <row r="29" spans="1:13" s="73" customFormat="1" ht="22" customHeight="1" x14ac:dyDescent="0.35">
      <c r="B29" s="73" t="s">
        <v>10</v>
      </c>
      <c r="E29" s="73">
        <v>11</v>
      </c>
    </row>
    <row r="30" spans="1:13" s="73" customFormat="1" ht="22" customHeight="1" x14ac:dyDescent="0.35">
      <c r="B30" s="73" t="s">
        <v>11</v>
      </c>
    </row>
    <row r="31" spans="1:13" s="73" customFormat="1" ht="22" customHeight="1" x14ac:dyDescent="0.35">
      <c r="B31" s="73" t="s">
        <v>21</v>
      </c>
      <c r="H31" s="73">
        <v>1</v>
      </c>
    </row>
    <row r="32" spans="1:13" s="73" customFormat="1" ht="22" customHeight="1" x14ac:dyDescent="0.35">
      <c r="B32" s="73" t="s">
        <v>22</v>
      </c>
      <c r="H32" s="73">
        <v>1</v>
      </c>
    </row>
    <row r="33" spans="1:13" ht="22" customHeight="1" x14ac:dyDescent="0.4">
      <c r="A33" s="55"/>
      <c r="B33" s="109"/>
      <c r="C33" s="68"/>
      <c r="D33" s="68"/>
      <c r="E33" s="68"/>
      <c r="F33" s="68"/>
      <c r="G33" s="68"/>
      <c r="H33" s="104"/>
      <c r="I33" s="67"/>
      <c r="J33" s="53"/>
      <c r="K33" s="53"/>
      <c r="L33" s="60"/>
      <c r="M33" s="49"/>
    </row>
    <row r="34" spans="1:13" ht="22" customHeight="1" x14ac:dyDescent="0.4">
      <c r="A34" s="55"/>
      <c r="B34" s="109"/>
      <c r="C34" s="68"/>
      <c r="D34" s="68"/>
      <c r="E34" s="68"/>
      <c r="F34" s="68"/>
      <c r="G34" s="68"/>
      <c r="H34" s="104"/>
      <c r="I34" s="67"/>
      <c r="J34" s="53"/>
      <c r="K34" s="53"/>
      <c r="L34" s="60"/>
      <c r="M34" s="49"/>
    </row>
    <row r="35" spans="1:13" ht="22" customHeight="1" thickBot="1" x14ac:dyDescent="0.45">
      <c r="A35" s="55"/>
      <c r="B35" s="111"/>
      <c r="C35" s="66"/>
      <c r="D35" s="66"/>
      <c r="E35" s="66"/>
      <c r="F35" s="66"/>
      <c r="G35" s="66"/>
      <c r="H35" s="106"/>
      <c r="I35" s="65"/>
      <c r="J35" s="53"/>
      <c r="K35" s="53"/>
      <c r="L35" s="60"/>
      <c r="M35" s="49"/>
    </row>
    <row r="36" spans="1:13" ht="22" customHeight="1" x14ac:dyDescent="0.4">
      <c r="A36" s="55"/>
      <c r="B36" s="64" t="s">
        <v>78</v>
      </c>
      <c r="C36" s="51"/>
      <c r="D36" s="51"/>
      <c r="E36" s="51"/>
      <c r="F36" s="51"/>
      <c r="G36" s="51"/>
      <c r="H36" s="51"/>
      <c r="I36" s="50"/>
      <c r="J36" s="64"/>
      <c r="K36" s="63"/>
      <c r="L36" s="62"/>
      <c r="M36" s="49"/>
    </row>
    <row r="37" spans="1:13" ht="22" customHeight="1" x14ac:dyDescent="0.4">
      <c r="A37" s="55"/>
      <c r="B37" s="54"/>
      <c r="C37" s="53"/>
      <c r="D37" s="53"/>
      <c r="E37" s="53"/>
      <c r="F37" s="53"/>
      <c r="G37" s="53"/>
      <c r="H37" s="53"/>
      <c r="I37" s="60"/>
      <c r="J37" s="54"/>
      <c r="K37" s="53"/>
      <c r="L37" s="60"/>
      <c r="M37" s="49"/>
    </row>
    <row r="38" spans="1:13" ht="22" customHeight="1" x14ac:dyDescent="0.4">
      <c r="A38" s="55"/>
      <c r="B38" s="54"/>
      <c r="C38" s="53"/>
      <c r="D38" s="53"/>
      <c r="E38" s="53"/>
      <c r="F38" s="53"/>
      <c r="G38" s="53"/>
      <c r="H38" s="53"/>
      <c r="I38" s="53"/>
      <c r="J38" s="61" t="s">
        <v>77</v>
      </c>
      <c r="K38" s="53"/>
      <c r="L38" s="60"/>
      <c r="M38" s="49"/>
    </row>
    <row r="39" spans="1:13" ht="22" customHeight="1" x14ac:dyDescent="0.4">
      <c r="A39" s="55"/>
      <c r="B39" s="54"/>
      <c r="C39" s="53"/>
      <c r="D39" s="53"/>
      <c r="E39" s="53"/>
      <c r="F39" s="53"/>
      <c r="G39" s="53"/>
      <c r="H39" s="53"/>
      <c r="I39" s="53"/>
      <c r="J39" s="59" t="s">
        <v>74</v>
      </c>
      <c r="K39" s="57"/>
      <c r="L39" s="56"/>
      <c r="M39" s="49"/>
    </row>
    <row r="40" spans="1:13" ht="22" customHeight="1" x14ac:dyDescent="0.4">
      <c r="A40" s="55"/>
      <c r="B40" s="61" t="s">
        <v>76</v>
      </c>
      <c r="C40" s="53"/>
      <c r="D40" s="53"/>
      <c r="E40" s="53"/>
      <c r="F40" s="53"/>
      <c r="G40" s="53"/>
      <c r="H40" s="53"/>
      <c r="I40" s="53"/>
      <c r="J40" s="58"/>
      <c r="K40" s="57"/>
      <c r="L40" s="56"/>
      <c r="M40" s="49"/>
    </row>
    <row r="41" spans="1:13" ht="22" customHeight="1" x14ac:dyDescent="0.4">
      <c r="A41" s="55"/>
      <c r="B41" s="54"/>
      <c r="C41" s="53"/>
      <c r="D41" s="53"/>
      <c r="E41" s="53"/>
      <c r="F41" s="53"/>
      <c r="G41" s="53"/>
      <c r="H41" s="53"/>
      <c r="I41" s="53"/>
      <c r="J41" s="52"/>
      <c r="K41" s="51"/>
      <c r="L41" s="50"/>
      <c r="M41" s="49"/>
    </row>
    <row r="42" spans="1:13" ht="22" customHeight="1" x14ac:dyDescent="0.4">
      <c r="A42" s="55"/>
      <c r="B42" s="54"/>
      <c r="C42" s="53"/>
      <c r="D42" s="53"/>
      <c r="E42" s="53"/>
      <c r="F42" s="53"/>
      <c r="G42" s="53"/>
      <c r="H42" s="53"/>
      <c r="I42" s="53"/>
      <c r="J42" s="61" t="s">
        <v>75</v>
      </c>
      <c r="K42" s="53"/>
      <c r="L42" s="60"/>
      <c r="M42" s="49"/>
    </row>
    <row r="43" spans="1:13" ht="22" customHeight="1" x14ac:dyDescent="0.4">
      <c r="A43" s="55"/>
      <c r="B43" s="54"/>
      <c r="C43" s="53"/>
      <c r="D43" s="53"/>
      <c r="E43" s="53"/>
      <c r="F43" s="53"/>
      <c r="G43" s="53"/>
      <c r="H43" s="53"/>
      <c r="I43" s="53"/>
      <c r="J43" s="59" t="s">
        <v>74</v>
      </c>
      <c r="K43" s="57"/>
      <c r="L43" s="56"/>
      <c r="M43" s="49"/>
    </row>
    <row r="44" spans="1:13" ht="22" customHeight="1" x14ac:dyDescent="0.4">
      <c r="A44" s="55"/>
      <c r="B44" s="54"/>
      <c r="C44" s="53"/>
      <c r="D44" s="53"/>
      <c r="E44" s="53"/>
      <c r="F44" s="53"/>
      <c r="G44" s="53"/>
      <c r="H44" s="53"/>
      <c r="I44" s="53"/>
      <c r="J44" s="58"/>
      <c r="K44" s="57"/>
      <c r="L44" s="56"/>
      <c r="M44" s="49"/>
    </row>
    <row r="45" spans="1:13" ht="22" customHeight="1" x14ac:dyDescent="0.4">
      <c r="A45" s="55"/>
      <c r="B45" s="54"/>
      <c r="C45" s="53"/>
      <c r="D45" s="53"/>
      <c r="E45" s="53"/>
      <c r="F45" s="53"/>
      <c r="G45" s="53"/>
      <c r="H45" s="53"/>
      <c r="I45" s="53"/>
      <c r="J45" s="52"/>
      <c r="K45" s="51"/>
      <c r="L45" s="50"/>
      <c r="M45" s="49"/>
    </row>
    <row r="46" spans="1:13" ht="16.399999999999999" customHeight="1" thickBot="1" x14ac:dyDescent="0.55000000000000004">
      <c r="A46" s="48"/>
      <c r="B46" s="47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5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2248-93E0-438B-AC16-A4D21C772ECB}">
  <sheetPr codeName="Sheet60">
    <pageSetUpPr fitToPage="1"/>
  </sheetPr>
  <dimension ref="A1:M46"/>
  <sheetViews>
    <sheetView workbookViewId="0">
      <selection activeCell="I31" sqref="I31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45965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116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113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113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113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3"/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115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113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11748.3</v>
      </c>
      <c r="D21" s="72">
        <v>11748.3</v>
      </c>
      <c r="E21" s="142">
        <f t="shared" ref="E21:E27" si="0">D21-C21</f>
        <v>0</v>
      </c>
      <c r="F21" s="146">
        <f>11-E21</f>
        <v>11</v>
      </c>
      <c r="G21" s="146"/>
      <c r="H21" s="146"/>
      <c r="I21" s="142" t="s">
        <v>114</v>
      </c>
      <c r="J21" s="130"/>
      <c r="K21" s="130"/>
      <c r="L21" s="129"/>
      <c r="M21" s="128"/>
    </row>
    <row r="22" spans="1:13" ht="22" customHeight="1" thickBot="1" x14ac:dyDescent="0.4">
      <c r="A22" s="126"/>
      <c r="B22" s="143" t="s">
        <v>84</v>
      </c>
      <c r="C22" s="72">
        <v>3583</v>
      </c>
      <c r="D22" s="72">
        <v>3591</v>
      </c>
      <c r="E22" s="142">
        <f t="shared" si="0"/>
        <v>8</v>
      </c>
      <c r="F22" s="146">
        <f>11-E22</f>
        <v>3</v>
      </c>
      <c r="G22" s="142"/>
      <c r="H22" s="146"/>
      <c r="I22" s="118" t="s">
        <v>113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4091</v>
      </c>
      <c r="D23" s="72">
        <v>4099</v>
      </c>
      <c r="E23" s="142">
        <f t="shared" si="0"/>
        <v>8</v>
      </c>
      <c r="F23" s="146">
        <f>11-E23</f>
        <v>3</v>
      </c>
      <c r="G23" s="142"/>
      <c r="H23" s="146"/>
      <c r="I23" s="118" t="s">
        <v>113</v>
      </c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4">
        <v>7639.8</v>
      </c>
      <c r="D25" s="74">
        <v>7648.6</v>
      </c>
      <c r="E25" s="142">
        <f t="shared" si="0"/>
        <v>8.8000000000001819</v>
      </c>
      <c r="F25" s="146">
        <f>11-E25</f>
        <v>2.1999999999998181</v>
      </c>
      <c r="G25" s="142"/>
      <c r="H25" s="146"/>
      <c r="I25" s="118" t="s">
        <v>113</v>
      </c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>
        <v>3989</v>
      </c>
      <c r="D26" s="72">
        <v>3999</v>
      </c>
      <c r="E26" s="142">
        <f t="shared" si="0"/>
        <v>10</v>
      </c>
      <c r="F26" s="146">
        <f>11-E26</f>
        <v>1</v>
      </c>
      <c r="G26" s="142"/>
      <c r="H26" s="146"/>
      <c r="I26" s="118" t="s">
        <v>113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4530</v>
      </c>
      <c r="D27" s="72">
        <v>4531</v>
      </c>
      <c r="E27" s="142">
        <f t="shared" si="0"/>
        <v>1</v>
      </c>
      <c r="F27" s="146">
        <f>11-E27</f>
        <v>10</v>
      </c>
      <c r="G27" s="142"/>
      <c r="H27" s="146"/>
      <c r="I27" s="118" t="s">
        <v>113</v>
      </c>
      <c r="J27" s="124"/>
      <c r="K27" s="124"/>
      <c r="L27" s="136"/>
      <c r="M27" s="128"/>
    </row>
    <row r="28" spans="1:13" ht="22" customHeight="1" x14ac:dyDescent="0.35"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B31" s="73" t="s">
        <v>21</v>
      </c>
      <c r="C31" s="73"/>
      <c r="D31" s="73"/>
      <c r="E31" s="73"/>
      <c r="F31" s="73"/>
      <c r="G31" s="73"/>
      <c r="H31" s="73">
        <v>1</v>
      </c>
      <c r="I31" s="73"/>
      <c r="J31" s="137"/>
      <c r="K31" s="145"/>
      <c r="L31" s="144"/>
      <c r="M31" s="128"/>
    </row>
    <row r="32" spans="1:13" ht="22" customHeight="1" x14ac:dyDescent="0.35">
      <c r="B32" s="73" t="s">
        <v>22</v>
      </c>
      <c r="C32" s="73"/>
      <c r="D32" s="73"/>
      <c r="E32" s="73"/>
      <c r="F32" s="73"/>
      <c r="G32" s="73"/>
      <c r="H32" s="73">
        <v>1</v>
      </c>
      <c r="I32" s="73"/>
      <c r="J32" s="125"/>
      <c r="K32" s="124"/>
      <c r="L32" s="136"/>
      <c r="M32" s="128"/>
    </row>
    <row r="33" spans="1:13" ht="22" customHeight="1" x14ac:dyDescent="0.35">
      <c r="A33" s="126"/>
      <c r="B33" s="143"/>
      <c r="C33" s="142"/>
      <c r="D33" s="142"/>
      <c r="E33" s="142"/>
      <c r="F33" s="142"/>
      <c r="G33" s="142"/>
      <c r="H33" s="141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43"/>
      <c r="C34" s="142"/>
      <c r="D34" s="142"/>
      <c r="E34" s="142"/>
      <c r="F34" s="142"/>
      <c r="G34" s="142"/>
      <c r="H34" s="141"/>
      <c r="I34" s="124"/>
      <c r="J34" s="135" t="s">
        <v>74</v>
      </c>
      <c r="K34" s="123"/>
      <c r="L34" s="133"/>
      <c r="M34" s="128"/>
    </row>
    <row r="35" spans="1:13" ht="22" customHeight="1" thickBot="1" x14ac:dyDescent="0.4">
      <c r="A35" s="126"/>
      <c r="B35" s="140"/>
      <c r="C35" s="139"/>
      <c r="D35" s="139"/>
      <c r="E35" s="139"/>
      <c r="F35" s="139"/>
      <c r="G35" s="139"/>
      <c r="H35" s="138"/>
      <c r="I35" s="124"/>
      <c r="J35" s="134"/>
      <c r="K35" s="123"/>
      <c r="L35" s="133"/>
      <c r="M35" s="128"/>
    </row>
    <row r="36" spans="1:13" ht="22" customHeight="1" x14ac:dyDescent="0.35">
      <c r="A36" s="126"/>
      <c r="B36" s="137" t="s">
        <v>78</v>
      </c>
      <c r="C36" s="130"/>
      <c r="D36" s="130"/>
      <c r="E36" s="130"/>
      <c r="F36" s="130"/>
      <c r="G36" s="130"/>
      <c r="H36" s="130"/>
      <c r="I36" s="124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32" t="s">
        <v>76</v>
      </c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6"/>
      <c r="B41" s="125"/>
      <c r="C41" s="124"/>
      <c r="D41" s="124"/>
      <c r="E41" s="124"/>
      <c r="F41" s="124"/>
      <c r="G41" s="124"/>
      <c r="H41" s="123"/>
      <c r="I41" s="120"/>
      <c r="J41" s="120"/>
      <c r="K41" s="120"/>
      <c r="L41" s="120"/>
      <c r="M41" s="127"/>
    </row>
    <row r="42" spans="1:13" x14ac:dyDescent="0.35">
      <c r="A42" s="126"/>
      <c r="B42" s="125"/>
      <c r="C42" s="124"/>
      <c r="D42" s="124"/>
      <c r="E42" s="124"/>
      <c r="F42" s="124"/>
      <c r="G42" s="124"/>
      <c r="H42" s="123"/>
    </row>
    <row r="43" spans="1:13" x14ac:dyDescent="0.35">
      <c r="A43" s="126"/>
      <c r="B43" s="125"/>
      <c r="C43" s="124"/>
      <c r="D43" s="124"/>
      <c r="E43" s="124"/>
      <c r="F43" s="124"/>
      <c r="G43" s="124"/>
      <c r="H43" s="123"/>
    </row>
    <row r="44" spans="1:13" x14ac:dyDescent="0.35">
      <c r="A44" s="126"/>
      <c r="B44" s="125"/>
      <c r="C44" s="124"/>
      <c r="D44" s="124"/>
      <c r="E44" s="124"/>
      <c r="F44" s="124"/>
      <c r="G44" s="124"/>
      <c r="H44" s="123"/>
    </row>
    <row r="45" spans="1:13" x14ac:dyDescent="0.35">
      <c r="A45" s="126"/>
      <c r="B45" s="125"/>
      <c r="C45" s="124"/>
      <c r="D45" s="124"/>
      <c r="E45" s="124"/>
      <c r="F45" s="124"/>
      <c r="G45" s="124"/>
      <c r="H45" s="123"/>
    </row>
    <row r="46" spans="1:13" ht="15" thickBot="1" x14ac:dyDescent="0.4">
      <c r="A46" s="122"/>
      <c r="B46" s="121"/>
      <c r="C46" s="120"/>
      <c r="D46" s="120"/>
      <c r="E46" s="120"/>
      <c r="F46" s="120"/>
      <c r="G46" s="120"/>
    </row>
  </sheetData>
  <sheetProtection sheet="1" objects="1" scenarios="1"/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D91-4950-4874-AAE8-15617FB47944}">
  <sheetPr codeName="Sheet43">
    <pageSetUpPr fitToPage="1"/>
  </sheetPr>
  <dimension ref="A1:M46"/>
  <sheetViews>
    <sheetView workbookViewId="0">
      <selection activeCell="J2" sqref="J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45966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117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113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113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113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3"/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113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113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11748.3</v>
      </c>
      <c r="D21" s="72">
        <v>11752.9</v>
      </c>
      <c r="E21" s="142">
        <f t="shared" ref="E21:E27" si="0">D21-C21</f>
        <v>4.6000000000003638</v>
      </c>
      <c r="F21" s="146">
        <f>11-E21</f>
        <v>6.3999999999996362</v>
      </c>
      <c r="G21" s="146"/>
      <c r="H21" s="146"/>
      <c r="I21" s="118" t="s">
        <v>113</v>
      </c>
      <c r="J21" s="130"/>
      <c r="K21" s="130"/>
      <c r="L21" s="129"/>
      <c r="M21" s="128"/>
    </row>
    <row r="22" spans="1:13" ht="22" customHeight="1" thickBot="1" x14ac:dyDescent="0.4">
      <c r="A22" s="126"/>
      <c r="B22" s="143" t="s">
        <v>84</v>
      </c>
      <c r="C22" s="72">
        <v>3591</v>
      </c>
      <c r="D22" s="72">
        <v>3598</v>
      </c>
      <c r="E22" s="142">
        <f t="shared" si="0"/>
        <v>7</v>
      </c>
      <c r="F22" s="146">
        <f>11-E22</f>
        <v>4</v>
      </c>
      <c r="G22" s="142"/>
      <c r="H22" s="146"/>
      <c r="I22" s="118" t="s">
        <v>113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4099</v>
      </c>
      <c r="D23" s="72">
        <v>4106</v>
      </c>
      <c r="E23" s="142">
        <f t="shared" si="0"/>
        <v>7</v>
      </c>
      <c r="F23" s="146">
        <f>11-E23</f>
        <v>4</v>
      </c>
      <c r="G23" s="142"/>
      <c r="H23" s="146"/>
      <c r="I23" s="118" t="s">
        <v>113</v>
      </c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4">
        <v>7648.6</v>
      </c>
      <c r="D25" s="72">
        <v>7656.8</v>
      </c>
      <c r="E25" s="142">
        <f t="shared" si="0"/>
        <v>8.1999999999998181</v>
      </c>
      <c r="F25" s="146">
        <f>11-E25</f>
        <v>2.8000000000001819</v>
      </c>
      <c r="G25" s="142"/>
      <c r="H25" s="146"/>
      <c r="I25" s="118" t="s">
        <v>113</v>
      </c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>
        <v>3999</v>
      </c>
      <c r="D26" s="72">
        <v>4006</v>
      </c>
      <c r="E26" s="142">
        <f t="shared" si="0"/>
        <v>7</v>
      </c>
      <c r="F26" s="146">
        <f>11-E26</f>
        <v>4</v>
      </c>
      <c r="G26" s="142"/>
      <c r="H26" s="146"/>
      <c r="I26" s="118" t="s">
        <v>113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4531</v>
      </c>
      <c r="D27" s="72">
        <v>4531</v>
      </c>
      <c r="E27" s="142">
        <f t="shared" si="0"/>
        <v>0</v>
      </c>
      <c r="F27" s="146">
        <f>11-E27</f>
        <v>11</v>
      </c>
      <c r="G27" s="142"/>
      <c r="H27" s="146"/>
      <c r="I27" s="118" t="s">
        <v>113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166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171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170"/>
      <c r="I30" s="13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129"/>
      <c r="J31" s="145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136"/>
      <c r="J32" s="124"/>
      <c r="K32" s="124"/>
      <c r="L32" s="136"/>
      <c r="M32" s="128"/>
    </row>
    <row r="33" spans="1:13" ht="22" customHeight="1" x14ac:dyDescent="0.35">
      <c r="A33" s="126"/>
      <c r="B33" s="143"/>
      <c r="C33" s="142"/>
      <c r="D33" s="142"/>
      <c r="E33" s="142"/>
      <c r="F33" s="142"/>
      <c r="G33" s="142"/>
      <c r="H33" s="168"/>
      <c r="I33" s="136"/>
      <c r="J33" s="155" t="s">
        <v>77</v>
      </c>
      <c r="K33" s="124"/>
      <c r="L33" s="136"/>
      <c r="M33" s="128"/>
    </row>
    <row r="34" spans="1:13" ht="22" customHeight="1" x14ac:dyDescent="0.35">
      <c r="A34" s="126"/>
      <c r="B34" s="143"/>
      <c r="C34" s="142"/>
      <c r="D34" s="142"/>
      <c r="E34" s="142"/>
      <c r="F34" s="142"/>
      <c r="G34" s="142"/>
      <c r="H34" s="168"/>
      <c r="I34" s="156"/>
      <c r="J34" s="172" t="s">
        <v>74</v>
      </c>
      <c r="K34" s="123"/>
      <c r="L34" s="133"/>
      <c r="M34" s="128"/>
    </row>
    <row r="35" spans="1:13" ht="22" customHeight="1" thickBot="1" x14ac:dyDescent="0.4">
      <c r="A35" s="126"/>
      <c r="B35" s="140"/>
      <c r="C35" s="139"/>
      <c r="D35" s="139"/>
      <c r="E35" s="139"/>
      <c r="F35" s="139"/>
      <c r="G35" s="139"/>
      <c r="H35" s="169"/>
      <c r="I35" s="173"/>
      <c r="J35" s="123"/>
      <c r="K35" s="123"/>
      <c r="L35" s="133"/>
      <c r="M35" s="128"/>
    </row>
    <row r="36" spans="1:13" ht="22" customHeight="1" x14ac:dyDescent="0.35">
      <c r="A36" s="126"/>
      <c r="B36" s="137" t="s">
        <v>78</v>
      </c>
      <c r="C36" s="130"/>
      <c r="D36" s="130"/>
      <c r="E36" s="130"/>
      <c r="F36" s="130"/>
      <c r="G36" s="130"/>
      <c r="H36" s="130"/>
      <c r="I36" s="130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32" t="s">
        <v>76</v>
      </c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5"/>
      <c r="C41" s="124"/>
      <c r="D41" s="124"/>
      <c r="E41" s="124"/>
      <c r="F41" s="124"/>
      <c r="G41" s="124"/>
      <c r="H41" s="124"/>
      <c r="I41" s="120"/>
      <c r="J41" s="120"/>
      <c r="K41" s="120"/>
      <c r="L41" s="120"/>
      <c r="M41" s="127"/>
    </row>
    <row r="42" spans="1:13" x14ac:dyDescent="0.35">
      <c r="B42" s="125"/>
      <c r="C42" s="124"/>
      <c r="D42" s="124"/>
      <c r="E42" s="124"/>
      <c r="F42" s="124"/>
      <c r="G42" s="124"/>
      <c r="H42" s="124"/>
    </row>
    <row r="43" spans="1:13" x14ac:dyDescent="0.35">
      <c r="B43" s="125"/>
      <c r="C43" s="124"/>
      <c r="D43" s="124"/>
      <c r="E43" s="124"/>
      <c r="F43" s="124"/>
      <c r="G43" s="124"/>
      <c r="H43" s="124"/>
    </row>
    <row r="44" spans="1:13" x14ac:dyDescent="0.35">
      <c r="B44" s="125"/>
      <c r="C44" s="124"/>
      <c r="D44" s="124"/>
      <c r="E44" s="124"/>
      <c r="F44" s="124"/>
      <c r="G44" s="124"/>
      <c r="H44" s="124"/>
    </row>
    <row r="45" spans="1:13" x14ac:dyDescent="0.35">
      <c r="B45" s="125"/>
      <c r="C45" s="124"/>
      <c r="D45" s="124"/>
      <c r="E45" s="124"/>
      <c r="F45" s="124"/>
      <c r="G45" s="124"/>
      <c r="H45" s="124"/>
    </row>
    <row r="46" spans="1:13" ht="15" thickBot="1" x14ac:dyDescent="0.4">
      <c r="B46" s="121"/>
      <c r="C46" s="120"/>
      <c r="D46" s="120"/>
      <c r="E46" s="120"/>
      <c r="F46" s="120"/>
      <c r="G46" s="120"/>
      <c r="H46" s="120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B66E-0757-4181-9B42-1494CBBE8ED5}">
  <sheetPr codeName="Sheet44">
    <pageSetUpPr fitToPage="1"/>
  </sheetPr>
  <dimension ref="A1:M46"/>
  <sheetViews>
    <sheetView workbookViewId="0">
      <selection activeCell="J2" sqref="J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45967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118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113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113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113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3"/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113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119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11752.9</v>
      </c>
      <c r="D21" s="72">
        <v>11758.4</v>
      </c>
      <c r="E21" s="142">
        <f t="shared" ref="E21:E27" si="0">D21-C21</f>
        <v>5.5</v>
      </c>
      <c r="F21" s="146">
        <f>11-E21</f>
        <v>5.5</v>
      </c>
      <c r="G21" s="146"/>
      <c r="H21" s="146"/>
      <c r="I21" s="118" t="s">
        <v>113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3598</v>
      </c>
      <c r="D22" s="72">
        <v>3606</v>
      </c>
      <c r="E22" s="142">
        <f t="shared" si="0"/>
        <v>8</v>
      </c>
      <c r="F22" s="146">
        <f>11-E22</f>
        <v>3</v>
      </c>
      <c r="G22" s="142"/>
      <c r="H22" s="146"/>
      <c r="I22" s="118" t="s">
        <v>113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4106</v>
      </c>
      <c r="D23" s="72">
        <v>4114</v>
      </c>
      <c r="E23" s="142">
        <f t="shared" si="0"/>
        <v>8</v>
      </c>
      <c r="F23" s="146">
        <f>11-E23</f>
        <v>3</v>
      </c>
      <c r="G23" s="142"/>
      <c r="H23" s="142"/>
      <c r="I23" s="142" t="s">
        <v>119</v>
      </c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2">
        <v>7656.8</v>
      </c>
      <c r="D25" s="72">
        <v>7665.7</v>
      </c>
      <c r="E25" s="142">
        <f t="shared" si="0"/>
        <v>8.8999999999996362</v>
      </c>
      <c r="F25" s="146">
        <f>11-E25</f>
        <v>2.1000000000003638</v>
      </c>
      <c r="G25" s="142"/>
      <c r="H25" s="146"/>
      <c r="I25" s="118" t="s">
        <v>113</v>
      </c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>
        <v>4006</v>
      </c>
      <c r="D26" s="72">
        <v>4015</v>
      </c>
      <c r="E26" s="142">
        <f t="shared" si="0"/>
        <v>9</v>
      </c>
      <c r="F26" s="146">
        <f>11-E26</f>
        <v>2</v>
      </c>
      <c r="G26" s="142"/>
      <c r="H26" s="146"/>
      <c r="I26" s="118" t="s">
        <v>113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4531</v>
      </c>
      <c r="D27" s="72">
        <v>4531</v>
      </c>
      <c r="E27" s="142">
        <f t="shared" si="0"/>
        <v>0</v>
      </c>
      <c r="F27" s="146">
        <f>11-E27</f>
        <v>11</v>
      </c>
      <c r="G27" s="142"/>
      <c r="H27" s="146"/>
      <c r="I27" s="118" t="s">
        <v>113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73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73"/>
      <c r="J32" s="125"/>
      <c r="K32" s="124"/>
      <c r="L32" s="136"/>
      <c r="M32" s="128"/>
    </row>
    <row r="33" spans="1:13" ht="22" customHeight="1" x14ac:dyDescent="0.35">
      <c r="A33" s="126"/>
      <c r="B33" s="143"/>
      <c r="C33" s="142"/>
      <c r="D33" s="142"/>
      <c r="E33" s="142"/>
      <c r="F33" s="142"/>
      <c r="G33" s="142"/>
      <c r="H33" s="168"/>
      <c r="I33" s="166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43"/>
      <c r="C34" s="142"/>
      <c r="D34" s="142"/>
      <c r="E34" s="142"/>
      <c r="F34" s="142"/>
      <c r="G34" s="142"/>
      <c r="H34" s="168"/>
      <c r="I34" s="166"/>
      <c r="J34" s="135" t="s">
        <v>74</v>
      </c>
      <c r="K34" s="123"/>
      <c r="L34" s="133"/>
      <c r="M34" s="128"/>
    </row>
    <row r="35" spans="1:13" ht="22" customHeight="1" thickBot="1" x14ac:dyDescent="0.4">
      <c r="A35" s="126"/>
      <c r="B35" s="140"/>
      <c r="C35" s="139"/>
      <c r="D35" s="139"/>
      <c r="E35" s="139"/>
      <c r="F35" s="139"/>
      <c r="G35" s="139"/>
      <c r="H35" s="169"/>
      <c r="I35" s="167"/>
      <c r="J35" s="134"/>
      <c r="K35" s="123"/>
      <c r="L35" s="133"/>
      <c r="M35" s="128"/>
    </row>
    <row r="36" spans="1:13" ht="22" customHeight="1" x14ac:dyDescent="0.35">
      <c r="A36" s="126"/>
      <c r="B36" s="137" t="s">
        <v>78</v>
      </c>
      <c r="C36" s="130"/>
      <c r="D36" s="130"/>
      <c r="E36" s="130"/>
      <c r="F36" s="130"/>
      <c r="G36" s="130"/>
      <c r="H36" s="130"/>
      <c r="I36" s="129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36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32" t="s">
        <v>76</v>
      </c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5"/>
      <c r="C41" s="124"/>
      <c r="D41" s="124"/>
      <c r="E41" s="124"/>
      <c r="F41" s="124"/>
      <c r="G41" s="124"/>
      <c r="H41" s="124"/>
      <c r="I41" s="124"/>
      <c r="J41" s="120"/>
      <c r="K41" s="120"/>
      <c r="L41" s="120"/>
      <c r="M41" s="127"/>
    </row>
    <row r="42" spans="1:13" x14ac:dyDescent="0.35">
      <c r="B42" s="125"/>
      <c r="C42" s="124"/>
      <c r="D42" s="124"/>
      <c r="E42" s="124"/>
      <c r="F42" s="124"/>
      <c r="G42" s="124"/>
      <c r="H42" s="124"/>
      <c r="I42" s="124"/>
    </row>
    <row r="43" spans="1:13" x14ac:dyDescent="0.35">
      <c r="B43" s="125"/>
      <c r="C43" s="124"/>
      <c r="D43" s="124"/>
      <c r="E43" s="124"/>
      <c r="F43" s="124"/>
      <c r="G43" s="124"/>
      <c r="H43" s="124"/>
      <c r="I43" s="124"/>
    </row>
    <row r="44" spans="1:13" x14ac:dyDescent="0.35">
      <c r="B44" s="125"/>
      <c r="C44" s="124"/>
      <c r="D44" s="124"/>
      <c r="E44" s="124"/>
      <c r="F44" s="124"/>
      <c r="G44" s="124"/>
      <c r="H44" s="124"/>
      <c r="I44" s="124"/>
    </row>
    <row r="45" spans="1:13" x14ac:dyDescent="0.35">
      <c r="B45" s="125"/>
      <c r="C45" s="124"/>
      <c r="D45" s="124"/>
      <c r="E45" s="124"/>
      <c r="F45" s="124"/>
      <c r="G45" s="124"/>
      <c r="H45" s="124"/>
      <c r="I45" s="124"/>
    </row>
    <row r="46" spans="1:13" ht="15" thickBot="1" x14ac:dyDescent="0.4">
      <c r="B46" s="121"/>
      <c r="C46" s="120"/>
      <c r="D46" s="120"/>
      <c r="E46" s="120"/>
      <c r="F46" s="120"/>
      <c r="G46" s="120"/>
      <c r="H46" s="120"/>
      <c r="I46" s="120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252B1-2658-4F0A-BDC0-C79242B4671E}">
  <sheetPr codeName="Sheet45">
    <pageSetUpPr fitToPage="1"/>
  </sheetPr>
  <dimension ref="A1:M41"/>
  <sheetViews>
    <sheetView workbookViewId="0">
      <selection activeCell="I31" sqref="I31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45968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121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113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113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113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3"/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113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11758.4</v>
      </c>
      <c r="D21" s="72">
        <v>11764.9</v>
      </c>
      <c r="E21" s="142">
        <f t="shared" ref="E21:E27" si="0">D21-C21</f>
        <v>6.5</v>
      </c>
      <c r="F21" s="146">
        <f>11-E21</f>
        <v>4.5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3606</v>
      </c>
      <c r="D22" s="72">
        <v>3613</v>
      </c>
      <c r="E22" s="142">
        <f t="shared" si="0"/>
        <v>7</v>
      </c>
      <c r="F22" s="146">
        <f>11-E22</f>
        <v>4</v>
      </c>
      <c r="G22" s="142"/>
      <c r="H22" s="146"/>
      <c r="I22" s="118" t="s">
        <v>113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4114</v>
      </c>
      <c r="D23" s="72">
        <v>4120</v>
      </c>
      <c r="E23" s="142">
        <f t="shared" si="0"/>
        <v>6</v>
      </c>
      <c r="F23" s="146">
        <f>11-E23</f>
        <v>5</v>
      </c>
      <c r="G23" s="142"/>
      <c r="H23" s="142"/>
      <c r="I23" s="142" t="s">
        <v>113</v>
      </c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2">
        <v>7665.7</v>
      </c>
      <c r="D25" s="72">
        <v>7674.4</v>
      </c>
      <c r="E25" s="142">
        <f t="shared" si="0"/>
        <v>8.6999999999998181</v>
      </c>
      <c r="F25" s="146">
        <f>11-E25</f>
        <v>2.3000000000001819</v>
      </c>
      <c r="G25" s="142"/>
      <c r="H25" s="146"/>
      <c r="I25" s="118" t="s">
        <v>113</v>
      </c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>
        <v>4015</v>
      </c>
      <c r="D26" s="72">
        <v>4022</v>
      </c>
      <c r="E26" s="142">
        <f t="shared" si="0"/>
        <v>7</v>
      </c>
      <c r="F26" s="146">
        <f>11-E26</f>
        <v>4</v>
      </c>
      <c r="G26" s="142"/>
      <c r="H26" s="146"/>
      <c r="I26" s="118" t="s">
        <v>113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4531</v>
      </c>
      <c r="D27" s="72">
        <v>4532.8</v>
      </c>
      <c r="E27" s="142">
        <f t="shared" si="0"/>
        <v>1.8000000000001819</v>
      </c>
      <c r="F27" s="146">
        <f>11-E27</f>
        <v>9.1999999999998181</v>
      </c>
      <c r="G27" s="142"/>
      <c r="H27" s="146"/>
      <c r="I27" s="118" t="s">
        <v>113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166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166"/>
      <c r="J29" s="124"/>
      <c r="K29" s="124"/>
      <c r="L29" s="136"/>
      <c r="M29" s="128"/>
    </row>
    <row r="30" spans="1:13" ht="22" customHeight="1" thickBot="1" x14ac:dyDescent="0.4">
      <c r="A30" s="126"/>
      <c r="B30" s="73" t="s">
        <v>11</v>
      </c>
      <c r="C30" s="73"/>
      <c r="D30" s="73"/>
      <c r="E30" s="73"/>
      <c r="F30" s="73"/>
      <c r="G30" s="73"/>
      <c r="H30" s="73"/>
      <c r="I30" s="167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129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136"/>
      <c r="J32" s="125"/>
      <c r="K32" s="124"/>
      <c r="L32" s="136"/>
      <c r="M32" s="128"/>
    </row>
    <row r="33" spans="1:13" ht="22" customHeight="1" x14ac:dyDescent="0.35">
      <c r="A33" s="126"/>
      <c r="B33" s="125"/>
      <c r="C33" s="124"/>
      <c r="D33" s="124"/>
      <c r="E33" s="124"/>
      <c r="F33" s="124"/>
      <c r="G33" s="124"/>
      <c r="H33" s="124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24"/>
      <c r="J34" s="135" t="s">
        <v>74</v>
      </c>
      <c r="K34" s="123"/>
      <c r="L34" s="133"/>
      <c r="M34" s="128"/>
    </row>
    <row r="35" spans="1:13" ht="22" customHeight="1" x14ac:dyDescent="0.35">
      <c r="A35" s="126"/>
      <c r="B35" s="132" t="s">
        <v>76</v>
      </c>
      <c r="C35" s="124"/>
      <c r="D35" s="124"/>
      <c r="E35" s="124"/>
      <c r="F35" s="124"/>
      <c r="G35" s="124"/>
      <c r="H35" s="124"/>
      <c r="I35" s="124"/>
      <c r="J35" s="134"/>
      <c r="K35" s="123"/>
      <c r="L35" s="133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1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7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60873-7FDD-4356-AFF2-724EB41B59C2}">
  <sheetPr codeName="Sheet46">
    <pageSetUpPr fitToPage="1"/>
  </sheetPr>
  <dimension ref="A1:M41"/>
  <sheetViews>
    <sheetView workbookViewId="0">
      <selection activeCell="O2" sqref="O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45969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123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113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113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113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3"/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113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11764.9</v>
      </c>
      <c r="D21" s="72">
        <v>11770.8</v>
      </c>
      <c r="E21" s="142">
        <f t="shared" ref="E21:E27" si="0">D21-C21</f>
        <v>5.8999999999996362</v>
      </c>
      <c r="F21" s="146">
        <f>11-E21</f>
        <v>5.1000000000003638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3613</v>
      </c>
      <c r="D22" s="72">
        <v>3620</v>
      </c>
      <c r="E22" s="142">
        <f t="shared" si="0"/>
        <v>7</v>
      </c>
      <c r="F22" s="146">
        <f>11-E22</f>
        <v>4</v>
      </c>
      <c r="G22" s="142"/>
      <c r="H22" s="146"/>
      <c r="I22" s="118" t="s">
        <v>113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4120</v>
      </c>
      <c r="D23" s="72">
        <v>4129</v>
      </c>
      <c r="E23" s="142">
        <f t="shared" si="0"/>
        <v>9</v>
      </c>
      <c r="F23" s="146">
        <f>11-E23</f>
        <v>2</v>
      </c>
      <c r="G23" s="142"/>
      <c r="H23" s="142"/>
      <c r="I23" s="142" t="s">
        <v>113</v>
      </c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2">
        <v>7674.4</v>
      </c>
      <c r="D25" s="72">
        <v>7683.4</v>
      </c>
      <c r="E25" s="142">
        <f t="shared" si="0"/>
        <v>9</v>
      </c>
      <c r="F25" s="146">
        <f>11-E25</f>
        <v>2</v>
      </c>
      <c r="G25" s="142"/>
      <c r="H25" s="146"/>
      <c r="I25" s="118" t="s">
        <v>113</v>
      </c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>
        <v>4022</v>
      </c>
      <c r="D26" s="72">
        <v>4032</v>
      </c>
      <c r="E26" s="142">
        <f t="shared" si="0"/>
        <v>10</v>
      </c>
      <c r="F26" s="146">
        <f>11-E26</f>
        <v>1</v>
      </c>
      <c r="G26" s="142"/>
      <c r="H26" s="146"/>
      <c r="I26" s="118" t="s">
        <v>113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4532</v>
      </c>
      <c r="D27" s="72">
        <v>4533</v>
      </c>
      <c r="E27" s="142">
        <f t="shared" si="0"/>
        <v>1</v>
      </c>
      <c r="F27" s="146">
        <f>11-E27</f>
        <v>10</v>
      </c>
      <c r="G27" s="142"/>
      <c r="H27" s="146"/>
      <c r="I27" s="118" t="s">
        <v>113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166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166"/>
      <c r="J29" s="124"/>
      <c r="K29" s="124"/>
      <c r="L29" s="136"/>
      <c r="M29" s="128"/>
    </row>
    <row r="30" spans="1:13" ht="22" customHeight="1" thickBot="1" x14ac:dyDescent="0.4">
      <c r="A30" s="126"/>
      <c r="B30" s="73" t="s">
        <v>11</v>
      </c>
      <c r="C30" s="73"/>
      <c r="D30" s="73"/>
      <c r="E30" s="73"/>
      <c r="F30" s="73"/>
      <c r="G30" s="73"/>
      <c r="H30" s="73"/>
      <c r="I30" s="167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129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136"/>
      <c r="J32" s="125"/>
      <c r="K32" s="124"/>
      <c r="L32" s="136"/>
      <c r="M32" s="128"/>
    </row>
    <row r="33" spans="1:13" ht="22" customHeight="1" x14ac:dyDescent="0.35">
      <c r="A33" s="126"/>
      <c r="B33" s="125"/>
      <c r="C33" s="124"/>
      <c r="D33" s="124"/>
      <c r="E33" s="124"/>
      <c r="F33" s="124"/>
      <c r="G33" s="124"/>
      <c r="H33" s="124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24"/>
      <c r="J34" s="135" t="s">
        <v>74</v>
      </c>
      <c r="K34" s="123"/>
      <c r="L34" s="133"/>
      <c r="M34" s="128"/>
    </row>
    <row r="35" spans="1:13" ht="22" customHeight="1" x14ac:dyDescent="0.35">
      <c r="A35" s="126"/>
      <c r="B35" s="132" t="s">
        <v>76</v>
      </c>
      <c r="C35" s="124"/>
      <c r="D35" s="124"/>
      <c r="E35" s="124"/>
      <c r="F35" s="124"/>
      <c r="G35" s="124"/>
      <c r="H35" s="124"/>
      <c r="I35" s="124"/>
      <c r="J35" s="134"/>
      <c r="K35" s="123"/>
      <c r="L35" s="133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1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F374-7423-4D78-AB41-1CEE7241D8E8}">
  <sheetPr codeName="Sheet47">
    <pageSetUpPr fitToPage="1"/>
  </sheetPr>
  <dimension ref="A1:M41"/>
  <sheetViews>
    <sheetView workbookViewId="0">
      <selection activeCell="E30" sqref="E30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45970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124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/>
      <c r="D12" s="146"/>
      <c r="E12" s="146"/>
      <c r="F12" s="240" t="s">
        <v>125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/>
      <c r="D13" s="142"/>
      <c r="E13" s="142"/>
      <c r="F13" s="240" t="s">
        <v>125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/>
      <c r="D14" s="142"/>
      <c r="E14" s="142"/>
      <c r="F14" s="240" t="s">
        <v>125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/>
      <c r="C15" s="146"/>
      <c r="D15" s="142"/>
      <c r="E15" s="142"/>
      <c r="F15" s="240"/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/>
      <c r="D16" s="142"/>
      <c r="E16" s="142"/>
      <c r="F16" s="240" t="s">
        <v>125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46"/>
      <c r="D17" s="142"/>
      <c r="E17" s="147"/>
      <c r="F17" s="240" t="s">
        <v>125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/>
      <c r="D21" s="72"/>
      <c r="E21" s="142">
        <f t="shared" ref="E21:E27" si="0">D21-C21</f>
        <v>0</v>
      </c>
      <c r="F21" s="146"/>
      <c r="G21" s="146"/>
      <c r="H21" s="146"/>
      <c r="I21" s="142"/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/>
      <c r="D22" s="72"/>
      <c r="E22" s="142">
        <f t="shared" si="0"/>
        <v>0</v>
      </c>
      <c r="F22" s="146"/>
      <c r="G22" s="142"/>
      <c r="H22" s="146"/>
      <c r="I22" s="118"/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/>
      <c r="D23" s="72"/>
      <c r="E23" s="142">
        <f t="shared" si="0"/>
        <v>0</v>
      </c>
      <c r="F23" s="146"/>
      <c r="G23" s="142"/>
      <c r="H23" s="142"/>
      <c r="I23" s="142"/>
      <c r="J23" s="124"/>
      <c r="K23" s="124"/>
      <c r="L23" s="136"/>
      <c r="M23" s="128"/>
    </row>
    <row r="24" spans="1:13" ht="22" customHeight="1" thickBot="1" x14ac:dyDescent="0.4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/>
      <c r="H24" s="146"/>
      <c r="I24" s="147"/>
      <c r="J24" s="124"/>
      <c r="K24" s="124"/>
      <c r="L24" s="136"/>
      <c r="M24" s="128"/>
    </row>
    <row r="25" spans="1:13" ht="22" customHeight="1" thickBot="1" x14ac:dyDescent="0.4">
      <c r="A25" s="126"/>
      <c r="B25" s="143" t="s">
        <v>81</v>
      </c>
      <c r="C25" s="72"/>
      <c r="D25" s="72"/>
      <c r="E25" s="142">
        <f t="shared" si="0"/>
        <v>0</v>
      </c>
      <c r="F25" s="146"/>
      <c r="G25" s="142"/>
      <c r="H25" s="146"/>
      <c r="I25" s="118"/>
      <c r="J25" s="124"/>
      <c r="K25" s="124"/>
      <c r="L25" s="136"/>
      <c r="M25" s="128"/>
    </row>
    <row r="26" spans="1:13" ht="22" customHeight="1" thickBot="1" x14ac:dyDescent="0.4">
      <c r="A26" s="126"/>
      <c r="B26" s="143" t="s">
        <v>80</v>
      </c>
      <c r="C26" s="72"/>
      <c r="D26" s="72"/>
      <c r="E26" s="142">
        <f t="shared" si="0"/>
        <v>0</v>
      </c>
      <c r="F26" s="146"/>
      <c r="G26" s="142"/>
      <c r="H26" s="146"/>
      <c r="I26" s="118"/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/>
      <c r="D27" s="72"/>
      <c r="E27" s="142">
        <f t="shared" si="0"/>
        <v>0</v>
      </c>
      <c r="F27" s="146"/>
      <c r="G27" s="142"/>
      <c r="H27" s="146"/>
      <c r="I27" s="118"/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0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0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/>
      <c r="I31" s="73">
        <v>1</v>
      </c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/>
      <c r="I32" s="73">
        <v>1</v>
      </c>
      <c r="J32" s="125"/>
      <c r="K32" s="124"/>
      <c r="L32" s="136"/>
      <c r="M32" s="128"/>
    </row>
    <row r="33" spans="1:13" ht="22" customHeight="1" x14ac:dyDescent="0.35">
      <c r="A33" s="126"/>
      <c r="B33" s="125"/>
      <c r="C33" s="124"/>
      <c r="D33" s="124"/>
      <c r="E33" s="124"/>
      <c r="F33" s="124"/>
      <c r="G33" s="124"/>
      <c r="H33" s="124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24"/>
      <c r="J34" s="135" t="s">
        <v>74</v>
      </c>
      <c r="K34" s="123"/>
      <c r="L34" s="133"/>
      <c r="M34" s="128"/>
    </row>
    <row r="35" spans="1:13" ht="22" customHeight="1" x14ac:dyDescent="0.35">
      <c r="A35" s="126"/>
      <c r="B35" s="132" t="s">
        <v>76</v>
      </c>
      <c r="C35" s="124"/>
      <c r="D35" s="124"/>
      <c r="E35" s="124"/>
      <c r="F35" s="124"/>
      <c r="G35" s="124"/>
      <c r="H35" s="124"/>
      <c r="I35" s="124"/>
      <c r="J35" s="134"/>
      <c r="K35" s="123"/>
      <c r="L35" s="133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1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7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9627-838E-484C-A9BD-5A5A430CE22A}">
  <sheetPr codeName="Sheet48">
    <pageSetUpPr fitToPage="1"/>
  </sheetPr>
  <dimension ref="A1:M41"/>
  <sheetViews>
    <sheetView workbookViewId="0">
      <selection activeCell="B28" sqref="B28:H3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45971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126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122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122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122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43" t="s">
        <v>109</v>
      </c>
      <c r="C15" s="146">
        <v>10</v>
      </c>
      <c r="D15" s="142"/>
      <c r="E15" s="142"/>
      <c r="F15" s="243" t="s">
        <v>127</v>
      </c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3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/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11770.9</v>
      </c>
      <c r="D21" s="72">
        <v>11779</v>
      </c>
      <c r="E21" s="142">
        <f t="shared" ref="E21:E27" si="0">D21-C21</f>
        <v>8.1000000000003638</v>
      </c>
      <c r="F21" s="146">
        <f>11-E21</f>
        <v>2.8999999999996362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3621</v>
      </c>
      <c r="D22" s="72">
        <v>3628</v>
      </c>
      <c r="E22" s="142">
        <f t="shared" si="0"/>
        <v>7</v>
      </c>
      <c r="F22" s="146">
        <f>11-E22</f>
        <v>4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4129</v>
      </c>
      <c r="D23" s="72">
        <v>4136</v>
      </c>
      <c r="E23" s="142">
        <f t="shared" si="0"/>
        <v>7</v>
      </c>
      <c r="F23" s="146">
        <f>11-E23</f>
        <v>4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7683.4</v>
      </c>
      <c r="D25" s="72">
        <v>7692.2</v>
      </c>
      <c r="E25" s="142">
        <f t="shared" si="0"/>
        <v>8.8000000000001819</v>
      </c>
      <c r="F25" s="146">
        <f>11-E25</f>
        <v>2.1999999999998181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4032</v>
      </c>
      <c r="D26" s="72">
        <v>4040</v>
      </c>
      <c r="E26" s="142">
        <f t="shared" si="0"/>
        <v>8</v>
      </c>
      <c r="F26" s="146">
        <f>11-E26</f>
        <v>3</v>
      </c>
      <c r="G26" s="142"/>
      <c r="H26" s="142"/>
      <c r="I26" s="142" t="s">
        <v>122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/>
      <c r="D27" s="72"/>
      <c r="E27" s="142">
        <f t="shared" si="0"/>
        <v>0</v>
      </c>
      <c r="F27" s="146">
        <f>11-E27</f>
        <v>11</v>
      </c>
      <c r="G27" s="142"/>
      <c r="H27" s="142"/>
      <c r="I27" s="142" t="s">
        <v>122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73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73"/>
      <c r="J32" s="125"/>
      <c r="K32" s="124"/>
      <c r="L32" s="136"/>
      <c r="M32" s="128"/>
    </row>
    <row r="33" spans="1:13" ht="22" customHeight="1" x14ac:dyDescent="0.35">
      <c r="A33" s="126"/>
      <c r="B33" s="125"/>
      <c r="C33" s="124"/>
      <c r="D33" s="124"/>
      <c r="E33" s="124"/>
      <c r="F33" s="124"/>
      <c r="G33" s="124"/>
      <c r="H33" s="124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24"/>
      <c r="J34" s="135" t="s">
        <v>74</v>
      </c>
      <c r="K34" s="123"/>
      <c r="L34" s="133"/>
      <c r="M34" s="128"/>
    </row>
    <row r="35" spans="1:13" ht="22" customHeight="1" x14ac:dyDescent="0.35">
      <c r="A35" s="126"/>
      <c r="B35" s="132" t="s">
        <v>76</v>
      </c>
      <c r="C35" s="124"/>
      <c r="D35" s="124"/>
      <c r="E35" s="124"/>
      <c r="F35" s="124"/>
      <c r="G35" s="124"/>
      <c r="H35" s="124"/>
      <c r="I35" s="124"/>
      <c r="J35" s="134"/>
      <c r="K35" s="123"/>
      <c r="L35" s="133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1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7"/>
    </row>
  </sheetData>
  <sheetProtection sheet="1" objects="1" scenarios="1"/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E993E-003A-467D-BEB8-4E9F40AFCCD2}">
  <sheetPr codeName="Sheet49">
    <pageSetUpPr fitToPage="1"/>
  </sheetPr>
  <dimension ref="A1:M46"/>
  <sheetViews>
    <sheetView workbookViewId="0">
      <selection activeCell="B28" sqref="B28:H3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45972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129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122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122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122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3" t="s">
        <v>130</v>
      </c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11779</v>
      </c>
      <c r="D21" s="72">
        <v>11781.2</v>
      </c>
      <c r="E21" s="142">
        <f t="shared" ref="E21:E27" si="0">D21-C21</f>
        <v>2.2000000000007276</v>
      </c>
      <c r="F21" s="146">
        <f>11-E21</f>
        <v>8.7999999999992724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3628</v>
      </c>
      <c r="D22" s="72">
        <v>3632</v>
      </c>
      <c r="E22" s="142">
        <f t="shared" si="0"/>
        <v>4</v>
      </c>
      <c r="F22" s="146">
        <f>11-E22</f>
        <v>7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4136</v>
      </c>
      <c r="D23" s="72">
        <v>4141</v>
      </c>
      <c r="E23" s="142">
        <f t="shared" si="0"/>
        <v>5</v>
      </c>
      <c r="F23" s="146">
        <f>11-E23</f>
        <v>6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142"/>
      <c r="D24" s="142"/>
      <c r="E24" s="142">
        <f t="shared" si="0"/>
        <v>0</v>
      </c>
      <c r="F24" s="146"/>
      <c r="G24" s="146">
        <v>11</v>
      </c>
      <c r="H24" s="146"/>
      <c r="I24" s="147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7692.2</v>
      </c>
      <c r="D25" s="72">
        <v>7697.5</v>
      </c>
      <c r="E25" s="142">
        <f t="shared" si="0"/>
        <v>5.3000000000001819</v>
      </c>
      <c r="F25" s="146">
        <f>11-E25</f>
        <v>5.6999999999998181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4040</v>
      </c>
      <c r="D26" s="72">
        <v>4046</v>
      </c>
      <c r="E26" s="142">
        <f t="shared" si="0"/>
        <v>6</v>
      </c>
      <c r="F26" s="146">
        <f>11-E26</f>
        <v>5</v>
      </c>
      <c r="G26" s="142"/>
      <c r="H26" s="142"/>
      <c r="I26" s="142" t="s">
        <v>122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/>
      <c r="D27" s="72"/>
      <c r="E27" s="142">
        <f t="shared" si="0"/>
        <v>0</v>
      </c>
      <c r="F27" s="146">
        <f>11-E27</f>
        <v>11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166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166"/>
      <c r="J29" s="124"/>
      <c r="K29" s="124"/>
      <c r="L29" s="136"/>
      <c r="M29" s="128"/>
    </row>
    <row r="30" spans="1:13" ht="22" customHeight="1" thickBot="1" x14ac:dyDescent="0.4">
      <c r="A30" s="126"/>
      <c r="B30" s="73" t="s">
        <v>11</v>
      </c>
      <c r="C30" s="73"/>
      <c r="D30" s="73"/>
      <c r="E30" s="73"/>
      <c r="F30" s="73"/>
      <c r="G30" s="73"/>
      <c r="H30" s="73"/>
      <c r="I30" s="167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129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136"/>
      <c r="J32" s="125"/>
      <c r="K32" s="124"/>
      <c r="L32" s="136"/>
      <c r="M32" s="128"/>
    </row>
    <row r="33" spans="1:13" ht="22" customHeight="1" x14ac:dyDescent="0.35">
      <c r="A33" s="126"/>
      <c r="B33" s="143"/>
      <c r="C33" s="142"/>
      <c r="D33" s="142"/>
      <c r="E33" s="142"/>
      <c r="F33" s="142"/>
      <c r="G33" s="142"/>
      <c r="H33" s="168"/>
      <c r="I33" s="124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43"/>
      <c r="C34" s="142"/>
      <c r="D34" s="142"/>
      <c r="E34" s="142"/>
      <c r="F34" s="142"/>
      <c r="G34" s="142"/>
      <c r="H34" s="168"/>
      <c r="I34" s="124"/>
      <c r="J34" s="135" t="s">
        <v>74</v>
      </c>
      <c r="K34" s="123"/>
      <c r="L34" s="133"/>
      <c r="M34" s="128"/>
    </row>
    <row r="35" spans="1:13" ht="22" customHeight="1" thickBot="1" x14ac:dyDescent="0.4">
      <c r="A35" s="126"/>
      <c r="B35" s="140"/>
      <c r="C35" s="139"/>
      <c r="D35" s="139"/>
      <c r="E35" s="139"/>
      <c r="F35" s="139"/>
      <c r="G35" s="139"/>
      <c r="H35" s="169"/>
      <c r="I35" s="124"/>
      <c r="J35" s="134"/>
      <c r="K35" s="123"/>
      <c r="L35" s="133"/>
      <c r="M35" s="128"/>
    </row>
    <row r="36" spans="1:13" ht="22" customHeight="1" x14ac:dyDescent="0.35">
      <c r="A36" s="126"/>
      <c r="B36" s="137" t="s">
        <v>78</v>
      </c>
      <c r="C36" s="130"/>
      <c r="D36" s="130"/>
      <c r="E36" s="130"/>
      <c r="F36" s="130"/>
      <c r="G36" s="130"/>
      <c r="H36" s="130"/>
      <c r="I36" s="124"/>
      <c r="J36" s="131"/>
      <c r="K36" s="130"/>
      <c r="L36" s="129"/>
      <c r="M36" s="128"/>
    </row>
    <row r="37" spans="1:13" ht="22" customHeight="1" x14ac:dyDescent="0.35">
      <c r="A37" s="126"/>
      <c r="B37" s="125" t="s">
        <v>132</v>
      </c>
      <c r="C37" s="124"/>
      <c r="D37" s="124"/>
      <c r="E37" s="124"/>
      <c r="F37" s="124"/>
      <c r="G37" s="124"/>
      <c r="H37" s="124"/>
      <c r="I37" s="124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 t="s">
        <v>133</v>
      </c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32" t="s">
        <v>76</v>
      </c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5"/>
      <c r="C41" s="124"/>
      <c r="D41" s="124"/>
      <c r="E41" s="124"/>
      <c r="F41" s="124"/>
      <c r="G41" s="124"/>
      <c r="H41" s="124"/>
      <c r="I41" s="120"/>
      <c r="J41" s="120"/>
      <c r="K41" s="120"/>
      <c r="L41" s="120"/>
      <c r="M41" s="127"/>
    </row>
    <row r="42" spans="1:13" x14ac:dyDescent="0.35">
      <c r="B42" s="125"/>
      <c r="C42" s="124"/>
      <c r="D42" s="124"/>
      <c r="E42" s="124"/>
      <c r="F42" s="124"/>
      <c r="G42" s="124"/>
      <c r="H42" s="124"/>
    </row>
    <row r="43" spans="1:13" x14ac:dyDescent="0.35">
      <c r="B43" s="125"/>
      <c r="C43" s="124"/>
      <c r="D43" s="124"/>
      <c r="E43" s="124"/>
      <c r="F43" s="124"/>
      <c r="G43" s="124"/>
      <c r="H43" s="124"/>
    </row>
    <row r="44" spans="1:13" x14ac:dyDescent="0.35">
      <c r="B44" s="125"/>
      <c r="C44" s="124"/>
      <c r="D44" s="124"/>
      <c r="E44" s="124"/>
      <c r="F44" s="124"/>
      <c r="G44" s="124"/>
      <c r="H44" s="124"/>
    </row>
    <row r="45" spans="1:13" x14ac:dyDescent="0.35">
      <c r="B45" s="125"/>
      <c r="C45" s="124"/>
      <c r="D45" s="124"/>
      <c r="E45" s="124"/>
      <c r="F45" s="124"/>
      <c r="G45" s="124"/>
      <c r="H45" s="124"/>
    </row>
    <row r="46" spans="1:13" ht="15" thickBot="1" x14ac:dyDescent="0.4">
      <c r="B46" s="121"/>
      <c r="C46" s="120"/>
      <c r="D46" s="120"/>
      <c r="E46" s="120"/>
      <c r="F46" s="120"/>
      <c r="G46" s="120"/>
      <c r="H46" s="120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513B0-01F3-4301-863A-BD8B94F53A18}">
  <sheetPr codeName="Sheet50">
    <pageSetUpPr fitToPage="1"/>
  </sheetPr>
  <dimension ref="A1:M46"/>
  <sheetViews>
    <sheetView workbookViewId="0">
      <selection activeCell="B28" sqref="B28:H3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45973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134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122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122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122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3" t="s">
        <v>130</v>
      </c>
      <c r="G15" s="244"/>
      <c r="H15" s="244"/>
      <c r="I15" s="245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11781.2</v>
      </c>
      <c r="D21" s="72">
        <v>11785.1</v>
      </c>
      <c r="E21" s="142">
        <f t="shared" ref="E21:E27" si="0">D21-C21</f>
        <v>3.8999999999996362</v>
      </c>
      <c r="F21" s="146">
        <f>11-E21</f>
        <v>7.1000000000003638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72">
        <v>3632</v>
      </c>
      <c r="D22" s="72">
        <v>3639</v>
      </c>
      <c r="E22" s="142">
        <f t="shared" si="0"/>
        <v>7</v>
      </c>
      <c r="F22" s="146">
        <f>11-E22</f>
        <v>4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4141</v>
      </c>
      <c r="D23" s="72">
        <v>4150</v>
      </c>
      <c r="E23" s="142">
        <f t="shared" si="0"/>
        <v>9</v>
      </c>
      <c r="F23" s="146">
        <f>11-E23</f>
        <v>2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>
        <v>5457.5</v>
      </c>
      <c r="D24" s="72">
        <v>5460.8</v>
      </c>
      <c r="E24" s="142">
        <f t="shared" si="0"/>
        <v>3.3000000000001819</v>
      </c>
      <c r="F24" s="146"/>
      <c r="G24" s="146">
        <v>7.7</v>
      </c>
      <c r="H24" s="146"/>
      <c r="I24" s="142" t="s">
        <v>135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175">
        <v>7697.5</v>
      </c>
      <c r="D25" s="175">
        <v>7701.7</v>
      </c>
      <c r="E25" s="142">
        <f t="shared" si="0"/>
        <v>4.1999999999998181</v>
      </c>
      <c r="F25" s="146">
        <f>11-E25</f>
        <v>6.8000000000001819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4046</v>
      </c>
      <c r="D26" s="72">
        <v>4055</v>
      </c>
      <c r="E26" s="142">
        <f t="shared" si="0"/>
        <v>9</v>
      </c>
      <c r="F26" s="146">
        <f>11-E26</f>
        <v>2</v>
      </c>
      <c r="G26" s="142"/>
      <c r="H26" s="142"/>
      <c r="I26" s="142" t="s">
        <v>122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/>
      <c r="D27" s="72"/>
      <c r="E27" s="142">
        <f t="shared" si="0"/>
        <v>0</v>
      </c>
      <c r="F27" s="146">
        <f>11-E27</f>
        <v>11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73"/>
      <c r="J31" s="137"/>
      <c r="K31" s="145"/>
      <c r="L31" s="144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73"/>
      <c r="J32" s="125"/>
      <c r="K32" s="124"/>
      <c r="L32" s="136"/>
      <c r="M32" s="128"/>
    </row>
    <row r="33" spans="1:13" ht="22" customHeight="1" x14ac:dyDescent="0.35">
      <c r="A33" s="126"/>
      <c r="B33" s="143"/>
      <c r="C33" s="142"/>
      <c r="D33" s="142"/>
      <c r="E33" s="142"/>
      <c r="F33" s="142"/>
      <c r="G33" s="142"/>
      <c r="H33" s="168"/>
      <c r="I33" s="166"/>
      <c r="J33" s="132" t="s">
        <v>77</v>
      </c>
      <c r="K33" s="124"/>
      <c r="L33" s="136"/>
      <c r="M33" s="128"/>
    </row>
    <row r="34" spans="1:13" ht="22" customHeight="1" x14ac:dyDescent="0.35">
      <c r="A34" s="126"/>
      <c r="B34" s="143"/>
      <c r="C34" s="142"/>
      <c r="D34" s="142"/>
      <c r="E34" s="142"/>
      <c r="F34" s="142"/>
      <c r="G34" s="142"/>
      <c r="H34" s="168"/>
      <c r="I34" s="166"/>
      <c r="J34" s="135" t="s">
        <v>74</v>
      </c>
      <c r="K34" s="123"/>
      <c r="L34" s="133"/>
      <c r="M34" s="128"/>
    </row>
    <row r="35" spans="1:13" ht="22" customHeight="1" thickBot="1" x14ac:dyDescent="0.4">
      <c r="A35" s="126"/>
      <c r="B35" s="140"/>
      <c r="C35" s="139"/>
      <c r="D35" s="139"/>
      <c r="E35" s="139"/>
      <c r="F35" s="139"/>
      <c r="G35" s="139"/>
      <c r="H35" s="169"/>
      <c r="I35" s="167"/>
      <c r="J35" s="134"/>
      <c r="K35" s="123"/>
      <c r="L35" s="133"/>
      <c r="M35" s="128"/>
    </row>
    <row r="36" spans="1:13" ht="22" customHeight="1" x14ac:dyDescent="0.35">
      <c r="A36" s="126"/>
      <c r="B36" s="137" t="s">
        <v>78</v>
      </c>
      <c r="C36" s="130"/>
      <c r="D36" s="130"/>
      <c r="E36" s="130"/>
      <c r="F36" s="130"/>
      <c r="G36" s="130"/>
      <c r="H36" s="130"/>
      <c r="I36" s="129"/>
      <c r="J36" s="131"/>
      <c r="K36" s="130"/>
      <c r="L36" s="129"/>
      <c r="M36" s="128"/>
    </row>
    <row r="37" spans="1:13" ht="22" customHeight="1" x14ac:dyDescent="0.35">
      <c r="A37" s="126"/>
      <c r="B37" s="125"/>
      <c r="C37" s="124"/>
      <c r="D37" s="124"/>
      <c r="E37" s="124"/>
      <c r="F37" s="124"/>
      <c r="G37" s="124"/>
      <c r="H37" s="124"/>
      <c r="I37" s="136"/>
      <c r="J37" s="132" t="s">
        <v>75</v>
      </c>
      <c r="K37" s="124"/>
      <c r="L37" s="136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5" t="s">
        <v>74</v>
      </c>
      <c r="K38" s="123"/>
      <c r="L38" s="133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4"/>
      <c r="K39" s="123"/>
      <c r="L39" s="133"/>
      <c r="M39" s="128"/>
    </row>
    <row r="40" spans="1:13" ht="22" customHeight="1" x14ac:dyDescent="0.35">
      <c r="A40" s="126"/>
      <c r="B40" s="132" t="s">
        <v>76</v>
      </c>
      <c r="C40" s="124"/>
      <c r="D40" s="124"/>
      <c r="E40" s="124"/>
      <c r="F40" s="124"/>
      <c r="G40" s="124"/>
      <c r="H40" s="124"/>
      <c r="I40" s="124"/>
      <c r="J40" s="131"/>
      <c r="K40" s="130"/>
      <c r="L40" s="129"/>
      <c r="M40" s="128"/>
    </row>
    <row r="41" spans="1:13" ht="16.399999999999999" customHeight="1" thickBot="1" x14ac:dyDescent="0.4">
      <c r="A41" s="122"/>
      <c r="B41" s="125"/>
      <c r="C41" s="124"/>
      <c r="D41" s="124"/>
      <c r="E41" s="124"/>
      <c r="F41" s="124"/>
      <c r="G41" s="124"/>
      <c r="H41" s="124"/>
      <c r="I41" s="124"/>
      <c r="J41" s="120"/>
      <c r="K41" s="120"/>
      <c r="L41" s="120"/>
      <c r="M41" s="127"/>
    </row>
    <row r="42" spans="1:13" x14ac:dyDescent="0.35">
      <c r="B42" s="125"/>
      <c r="C42" s="124"/>
      <c r="D42" s="124"/>
      <c r="E42" s="124"/>
      <c r="F42" s="124"/>
      <c r="G42" s="124"/>
      <c r="H42" s="124"/>
      <c r="I42" s="124"/>
    </row>
    <row r="43" spans="1:13" x14ac:dyDescent="0.35">
      <c r="B43" s="125"/>
      <c r="C43" s="124"/>
      <c r="D43" s="124"/>
      <c r="E43" s="124"/>
      <c r="F43" s="124"/>
      <c r="G43" s="124"/>
      <c r="H43" s="124"/>
      <c r="I43" s="124"/>
    </row>
    <row r="44" spans="1:13" x14ac:dyDescent="0.35">
      <c r="B44" s="125"/>
      <c r="C44" s="124"/>
      <c r="D44" s="124"/>
      <c r="E44" s="124"/>
      <c r="F44" s="124"/>
      <c r="G44" s="124"/>
      <c r="H44" s="124"/>
      <c r="I44" s="124"/>
    </row>
    <row r="45" spans="1:13" x14ac:dyDescent="0.35">
      <c r="B45" s="125"/>
      <c r="C45" s="124"/>
      <c r="D45" s="124"/>
      <c r="E45" s="124"/>
      <c r="F45" s="124"/>
      <c r="G45" s="124"/>
      <c r="H45" s="124"/>
      <c r="I45" s="124"/>
    </row>
    <row r="46" spans="1:13" ht="15" thickBot="1" x14ac:dyDescent="0.4">
      <c r="B46" s="121"/>
      <c r="C46" s="120"/>
      <c r="D46" s="120"/>
      <c r="E46" s="120"/>
      <c r="F46" s="120"/>
      <c r="G46" s="120"/>
      <c r="H46" s="120"/>
      <c r="I46" s="120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0580-CAB1-45F1-9752-4DCFE3E3596F}">
  <sheetPr codeName="Sheet51">
    <pageSetUpPr fitToPage="1"/>
  </sheetPr>
  <dimension ref="A1:M43"/>
  <sheetViews>
    <sheetView workbookViewId="0">
      <selection activeCell="J3" sqref="J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45974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136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122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122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122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122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/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11785.2</v>
      </c>
      <c r="D21" s="72">
        <v>11787.2</v>
      </c>
      <c r="E21" s="142">
        <f t="shared" ref="E21:E27" si="0">D21-C21</f>
        <v>2</v>
      </c>
      <c r="F21" s="146">
        <f>11-E21</f>
        <v>9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3640</v>
      </c>
      <c r="D22" s="175">
        <v>3648</v>
      </c>
      <c r="E22" s="142">
        <f t="shared" si="0"/>
        <v>8</v>
      </c>
      <c r="F22" s="146">
        <f>11-E22</f>
        <v>3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4150</v>
      </c>
      <c r="D23" s="72">
        <v>4158</v>
      </c>
      <c r="E23" s="142">
        <f t="shared" si="0"/>
        <v>8</v>
      </c>
      <c r="F23" s="146">
        <f>11-E23</f>
        <v>3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7701.7</v>
      </c>
      <c r="D25" s="72">
        <v>7711.1</v>
      </c>
      <c r="E25" s="142">
        <f t="shared" si="0"/>
        <v>9.4000000000005457</v>
      </c>
      <c r="F25" s="146">
        <f>11-E25</f>
        <v>1.5999999999994543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4055</v>
      </c>
      <c r="D26" s="72">
        <v>4064</v>
      </c>
      <c r="E26" s="142">
        <f t="shared" si="0"/>
        <v>9</v>
      </c>
      <c r="F26" s="146">
        <f>11-E26</f>
        <v>2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4534.1000000000004</v>
      </c>
      <c r="D27" s="72">
        <v>4535.8999999999996</v>
      </c>
      <c r="E27" s="142">
        <f t="shared" si="0"/>
        <v>1.7999999999992724</v>
      </c>
      <c r="F27" s="146">
        <f>11-E27</f>
        <v>9.2000000000007276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73"/>
      <c r="J31" s="124"/>
      <c r="K31" s="124"/>
      <c r="L31" s="136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73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7F8B7-A032-4D97-8E9F-46E55462403F}">
  <sheetPr codeName="Sheet52">
    <pageSetUpPr fitToPage="1"/>
  </sheetPr>
  <dimension ref="A1:M43"/>
  <sheetViews>
    <sheetView workbookViewId="0">
      <selection activeCell="J2" sqref="J2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45975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138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128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131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137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122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11787.7</v>
      </c>
      <c r="D21" s="72">
        <v>11792.5</v>
      </c>
      <c r="E21" s="142">
        <f t="shared" ref="E21:E27" si="0">D21-C21</f>
        <v>4.7999999999992724</v>
      </c>
      <c r="F21" s="146">
        <f>11-E21</f>
        <v>6.2000000000007276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3648</v>
      </c>
      <c r="D22" s="175">
        <v>3657</v>
      </c>
      <c r="E22" s="142">
        <f t="shared" si="0"/>
        <v>9</v>
      </c>
      <c r="F22" s="146">
        <f>11-E22</f>
        <v>2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4158</v>
      </c>
      <c r="D23" s="72">
        <v>4166</v>
      </c>
      <c r="E23" s="142">
        <f t="shared" si="0"/>
        <v>8</v>
      </c>
      <c r="F23" s="146">
        <f>11-E23</f>
        <v>3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7711.1</v>
      </c>
      <c r="D25" s="72">
        <v>7720.1</v>
      </c>
      <c r="E25" s="142">
        <f t="shared" si="0"/>
        <v>9</v>
      </c>
      <c r="F25" s="146">
        <f>11-E25</f>
        <v>2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4064</v>
      </c>
      <c r="D26" s="72">
        <v>4072</v>
      </c>
      <c r="E26" s="142">
        <f t="shared" si="0"/>
        <v>8</v>
      </c>
      <c r="F26" s="146">
        <f>11-E26</f>
        <v>3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4535.8999999999996</v>
      </c>
      <c r="D27" s="72">
        <v>4536.1000000000004</v>
      </c>
      <c r="E27" s="142">
        <f t="shared" si="0"/>
        <v>0.2000000000007276</v>
      </c>
      <c r="F27" s="146">
        <f>11-E27</f>
        <v>10.799999999999272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J31" s="124"/>
      <c r="K31" s="124"/>
      <c r="L31" s="136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156CD-2C80-47C7-B8BF-A66CDDB09FB1}">
  <sheetPr codeName="Sheet53">
    <pageSetUpPr fitToPage="1"/>
  </sheetPr>
  <dimension ref="A1:M43"/>
  <sheetViews>
    <sheetView topLeftCell="A5" workbookViewId="0">
      <selection activeCell="E21" sqref="E21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45976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139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128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131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137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122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/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11792.5</v>
      </c>
      <c r="D21" s="72">
        <v>11794.2</v>
      </c>
      <c r="E21" s="142">
        <f t="shared" ref="E21:E27" si="0">D21-C21</f>
        <v>1.7000000000007276</v>
      </c>
      <c r="F21" s="146">
        <f>11-E21</f>
        <v>9.2999999999992724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3657</v>
      </c>
      <c r="D22" s="175">
        <v>3666</v>
      </c>
      <c r="E22" s="142">
        <f t="shared" si="0"/>
        <v>9</v>
      </c>
      <c r="F22" s="146">
        <f>11-E22</f>
        <v>2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4166</v>
      </c>
      <c r="D23" s="72">
        <v>4174</v>
      </c>
      <c r="E23" s="142">
        <f t="shared" si="0"/>
        <v>8</v>
      </c>
      <c r="F23" s="146">
        <f>11-E23</f>
        <v>3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7720</v>
      </c>
      <c r="D25" s="72">
        <v>7729.5</v>
      </c>
      <c r="E25" s="142">
        <f t="shared" si="0"/>
        <v>9.5</v>
      </c>
      <c r="F25" s="146">
        <f>11-E25</f>
        <v>1.5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4072</v>
      </c>
      <c r="D26" s="72">
        <v>4079</v>
      </c>
      <c r="E26" s="142">
        <f t="shared" si="0"/>
        <v>7</v>
      </c>
      <c r="F26" s="146">
        <f>11-E26</f>
        <v>4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4536.1000000000004</v>
      </c>
      <c r="D27" s="72">
        <v>4536.8999999999996</v>
      </c>
      <c r="E27" s="142">
        <f t="shared" si="0"/>
        <v>0.7999999999992724</v>
      </c>
      <c r="F27" s="146">
        <f>11-E27</f>
        <v>10.200000000000728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73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73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73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J31" s="124"/>
      <c r="K31" s="124"/>
      <c r="L31" s="136"/>
      <c r="M31" s="128"/>
    </row>
    <row r="32" spans="1:13" ht="22" customHeight="1" x14ac:dyDescent="0.35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4525-9E36-44AD-A19D-23F75D914D71}">
  <sheetPr codeName="Sheet54">
    <pageSetUpPr fitToPage="1"/>
  </sheetPr>
  <dimension ref="A1:M43"/>
  <sheetViews>
    <sheetView workbookViewId="0">
      <selection activeCell="C18" sqref="C18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45977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140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10</v>
      </c>
      <c r="D12" s="146"/>
      <c r="E12" s="146"/>
      <c r="F12" s="240" t="s">
        <v>128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131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137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122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3" t="s">
        <v>122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76">
        <v>10</v>
      </c>
      <c r="D17" s="142"/>
      <c r="E17" s="147"/>
      <c r="F17" s="243" t="s">
        <v>122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/>
      <c r="C18" s="142"/>
      <c r="D18" s="142"/>
      <c r="E18" s="147"/>
      <c r="F18" s="236"/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11794.2</v>
      </c>
      <c r="D21" s="72">
        <v>11794.3</v>
      </c>
      <c r="E21" s="142">
        <f t="shared" ref="E21:E27" si="0">D21-C21</f>
        <v>9.9999999998544808E-2</v>
      </c>
      <c r="F21" s="146">
        <f>11-E21</f>
        <v>10.900000000001455</v>
      </c>
      <c r="G21" s="146"/>
      <c r="H21" s="146"/>
      <c r="I21" s="142" t="s">
        <v>122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3666</v>
      </c>
      <c r="D22" s="177">
        <v>3666</v>
      </c>
      <c r="E22" s="142">
        <f t="shared" si="0"/>
        <v>0</v>
      </c>
      <c r="F22" s="146">
        <f>11-E22</f>
        <v>11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4174</v>
      </c>
      <c r="D23" s="72">
        <v>4174</v>
      </c>
      <c r="E23" s="142">
        <f t="shared" si="0"/>
        <v>0</v>
      </c>
      <c r="F23" s="146">
        <f>11-E23</f>
        <v>11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7729.5</v>
      </c>
      <c r="D25" s="72">
        <v>7730</v>
      </c>
      <c r="E25" s="142">
        <f t="shared" si="0"/>
        <v>0.5</v>
      </c>
      <c r="F25" s="146">
        <f>11-E25</f>
        <v>10.5</v>
      </c>
      <c r="G25" s="142"/>
      <c r="H25" s="142"/>
      <c r="I25" s="142" t="s">
        <v>122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4079</v>
      </c>
      <c r="D26" s="72">
        <v>4080</v>
      </c>
      <c r="E26" s="142">
        <f t="shared" si="0"/>
        <v>1</v>
      </c>
      <c r="F26" s="146">
        <f>11-E26</f>
        <v>10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4536.8999999999996</v>
      </c>
      <c r="D27" s="72">
        <v>4536.8999999999996</v>
      </c>
      <c r="E27" s="142">
        <f t="shared" si="0"/>
        <v>0</v>
      </c>
      <c r="F27" s="146">
        <f>11-E27</f>
        <v>11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73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73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/>
      <c r="F30" s="73"/>
      <c r="G30" s="73"/>
      <c r="H30" s="73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73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73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141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FCCB-B112-4D63-B6AC-2A701C79BD69}">
  <sheetPr codeName="Sheet56">
    <pageSetUpPr fitToPage="1"/>
  </sheetPr>
  <dimension ref="A1:M43"/>
  <sheetViews>
    <sheetView zoomScale="85" zoomScaleNormal="85" workbookViewId="0">
      <selection activeCell="C19" sqref="C19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45985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144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10</v>
      </c>
      <c r="D12" s="146"/>
      <c r="E12" s="146"/>
      <c r="F12" s="240" t="s">
        <v>145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146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147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148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0" t="s">
        <v>149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10</v>
      </c>
      <c r="D17" s="142"/>
      <c r="E17" s="147"/>
      <c r="F17" s="240" t="s">
        <v>145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0</v>
      </c>
      <c r="D18" s="142"/>
      <c r="E18" s="147"/>
      <c r="F18" s="236" t="s">
        <v>127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11794.7</v>
      </c>
      <c r="D21" s="72">
        <v>11795</v>
      </c>
      <c r="E21" s="142">
        <f t="shared" ref="E21:E27" si="0">D21-C21</f>
        <v>0.2999999999992724</v>
      </c>
      <c r="F21" s="146">
        <v>0.7</v>
      </c>
      <c r="G21" s="146"/>
      <c r="H21" s="146"/>
      <c r="I21" s="142" t="s">
        <v>150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3667</v>
      </c>
      <c r="D22" s="177">
        <v>3671</v>
      </c>
      <c r="E22" s="142">
        <f t="shared" si="0"/>
        <v>4</v>
      </c>
      <c r="F22" s="146">
        <v>6</v>
      </c>
      <c r="G22" s="142"/>
      <c r="H22" s="142"/>
      <c r="I22" s="142" t="s">
        <v>151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4175</v>
      </c>
      <c r="D23" s="72">
        <v>4177</v>
      </c>
      <c r="E23" s="142">
        <f t="shared" si="0"/>
        <v>2</v>
      </c>
      <c r="F23" s="146">
        <v>8</v>
      </c>
      <c r="G23" s="142"/>
      <c r="H23" s="142"/>
      <c r="I23" s="142" t="s">
        <v>152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7730</v>
      </c>
      <c r="D25" s="72">
        <v>7733.5</v>
      </c>
      <c r="E25" s="142">
        <f t="shared" si="0"/>
        <v>3.5</v>
      </c>
      <c r="F25" s="146">
        <v>6.5</v>
      </c>
      <c r="G25" s="142"/>
      <c r="H25" s="142"/>
      <c r="I25" s="142" t="s">
        <v>153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4082</v>
      </c>
      <c r="D26" s="72">
        <v>4087</v>
      </c>
      <c r="E26" s="142">
        <f t="shared" si="0"/>
        <v>5</v>
      </c>
      <c r="F26" s="146">
        <v>5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/>
      <c r="D27" s="72"/>
      <c r="E27" s="142">
        <f t="shared" si="0"/>
        <v>0</v>
      </c>
      <c r="F27" s="146">
        <v>10</v>
      </c>
      <c r="G27" s="142"/>
      <c r="H27" s="142"/>
      <c r="I27" s="142" t="s">
        <v>154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155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2918-DE2E-4750-8E2D-AFD44FC8D22E}">
  <sheetPr codeName="Sheet57">
    <pageSetUpPr fitToPage="1"/>
  </sheetPr>
  <dimension ref="A1:M43"/>
  <sheetViews>
    <sheetView zoomScale="85" zoomScaleNormal="85" workbookViewId="0">
      <selection activeCell="C21" sqref="C21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45986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163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154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11795</v>
      </c>
      <c r="D21" s="72">
        <v>11796.3</v>
      </c>
      <c r="E21" s="142">
        <f>D21-C21</f>
        <v>1.2999999999992724</v>
      </c>
      <c r="F21" s="146">
        <f>11-E21</f>
        <v>9.7000000000007276</v>
      </c>
      <c r="G21" s="146"/>
      <c r="H21" s="146"/>
      <c r="I21" s="142" t="s">
        <v>150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3671</v>
      </c>
      <c r="D22" s="177">
        <v>3677</v>
      </c>
      <c r="E22" s="142">
        <f t="shared" ref="E22:E27" si="0">D22-C22</f>
        <v>6</v>
      </c>
      <c r="F22" s="146">
        <f>11-E22</f>
        <v>5</v>
      </c>
      <c r="G22" s="142"/>
      <c r="H22" s="142"/>
      <c r="I22" s="142" t="s">
        <v>151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4177</v>
      </c>
      <c r="D23" s="72">
        <v>4186</v>
      </c>
      <c r="E23" s="142">
        <f t="shared" si="0"/>
        <v>9</v>
      </c>
      <c r="F23" s="146">
        <f>11-E23</f>
        <v>2</v>
      </c>
      <c r="G23" s="142"/>
      <c r="H23" s="142"/>
      <c r="I23" s="142" t="s">
        <v>152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7733.5</v>
      </c>
      <c r="D25" s="72">
        <v>7740</v>
      </c>
      <c r="E25" s="142">
        <f t="shared" si="0"/>
        <v>6.5</v>
      </c>
      <c r="F25" s="146">
        <f>11-E25</f>
        <v>4.5</v>
      </c>
      <c r="G25" s="142"/>
      <c r="H25" s="142"/>
      <c r="I25" s="142" t="s">
        <v>153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4087</v>
      </c>
      <c r="D26" s="72">
        <v>4095</v>
      </c>
      <c r="E26" s="142">
        <f t="shared" si="0"/>
        <v>8</v>
      </c>
      <c r="F26" s="146">
        <f>11-E26</f>
        <v>3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4536.8999999999996</v>
      </c>
      <c r="D27" s="72">
        <v>4537.7</v>
      </c>
      <c r="E27" s="142">
        <f t="shared" si="0"/>
        <v>0.8000000000001819</v>
      </c>
      <c r="F27" s="146">
        <f>11-E27</f>
        <v>10.199999999999818</v>
      </c>
      <c r="G27" s="142"/>
      <c r="H27" s="142"/>
      <c r="I27" s="142" t="s">
        <v>162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142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142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178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EC697-8EFA-486A-8551-471BD5EA79AB}">
  <sheetPr codeName="Sheet58">
    <pageSetUpPr fitToPage="1"/>
  </sheetPr>
  <dimension ref="A1:M43"/>
  <sheetViews>
    <sheetView zoomScale="85" zoomScaleNormal="85" workbookViewId="0">
      <selection activeCell="J3" sqref="J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45987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156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154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11796.3</v>
      </c>
      <c r="D21" s="72">
        <v>11799.8</v>
      </c>
      <c r="E21" s="142">
        <v>3.5</v>
      </c>
      <c r="F21" s="146">
        <f>11-E21</f>
        <v>7.5</v>
      </c>
      <c r="G21" s="146"/>
      <c r="H21" s="146"/>
      <c r="I21" s="142" t="s">
        <v>150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3677</v>
      </c>
      <c r="D22" s="177">
        <v>3684</v>
      </c>
      <c r="E22" s="142">
        <v>7</v>
      </c>
      <c r="F22" s="146">
        <f>11-E22</f>
        <v>4</v>
      </c>
      <c r="G22" s="142"/>
      <c r="H22" s="142"/>
      <c r="I22" s="142" t="s">
        <v>151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4186</v>
      </c>
      <c r="D23" s="72">
        <v>4194</v>
      </c>
      <c r="E23" s="142">
        <v>8</v>
      </c>
      <c r="F23" s="146">
        <f>11-E23</f>
        <v>3</v>
      </c>
      <c r="G23" s="142"/>
      <c r="H23" s="142"/>
      <c r="I23" s="142" t="s">
        <v>152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ref="E24:E27" si="0">D24-C24</f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7740</v>
      </c>
      <c r="D25" s="72">
        <v>7747</v>
      </c>
      <c r="E25" s="142">
        <v>7</v>
      </c>
      <c r="F25" s="146">
        <f>11-E25</f>
        <v>4</v>
      </c>
      <c r="G25" s="142"/>
      <c r="H25" s="142"/>
      <c r="I25" s="142" t="s">
        <v>153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4095</v>
      </c>
      <c r="D26" s="72">
        <v>4105</v>
      </c>
      <c r="E26" s="142">
        <v>10</v>
      </c>
      <c r="F26" s="146">
        <f>11-E26</f>
        <v>1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4537.7</v>
      </c>
      <c r="D27" s="72">
        <v>4538</v>
      </c>
      <c r="E27" s="142">
        <f t="shared" si="0"/>
        <v>0.3000000000001819</v>
      </c>
      <c r="F27" s="146">
        <f>11-E27</f>
        <v>10.699999999999818</v>
      </c>
      <c r="G27" s="142"/>
      <c r="H27" s="142"/>
      <c r="I27" s="142" t="s">
        <v>162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2DC3D-2A7D-488C-B4BF-9B38FD9050D9}">
  <sheetPr codeName="Sheet59">
    <pageSetUpPr fitToPage="1"/>
  </sheetPr>
  <dimension ref="A1:M43"/>
  <sheetViews>
    <sheetView zoomScale="85" zoomScaleNormal="85" workbookViewId="0">
      <selection activeCell="I23" sqref="I2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45988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164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154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11799.8</v>
      </c>
      <c r="D21" s="72">
        <v>11807</v>
      </c>
      <c r="E21" s="142">
        <f>D21-C21</f>
        <v>7.2000000000007276</v>
      </c>
      <c r="F21" s="146">
        <f>11-E21</f>
        <v>3.7999999999992724</v>
      </c>
      <c r="G21" s="146"/>
      <c r="H21" s="146"/>
      <c r="I21" s="142" t="s">
        <v>172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3684</v>
      </c>
      <c r="D22" s="177">
        <v>3694</v>
      </c>
      <c r="E22" s="142">
        <f t="shared" ref="E22:E27" si="0">D22-C22</f>
        <v>10</v>
      </c>
      <c r="F22" s="146">
        <f>11-E22</f>
        <v>1</v>
      </c>
      <c r="G22" s="142"/>
      <c r="H22" s="142"/>
      <c r="I22" s="142" t="s">
        <v>173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4194</v>
      </c>
      <c r="D23" s="72">
        <v>4202</v>
      </c>
      <c r="E23" s="142">
        <f t="shared" si="0"/>
        <v>8</v>
      </c>
      <c r="F23" s="146">
        <f>11-E23</f>
        <v>3</v>
      </c>
      <c r="G23" s="142"/>
      <c r="H23" s="142"/>
      <c r="I23" s="142" t="s">
        <v>152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7747</v>
      </c>
      <c r="D25" s="72">
        <v>7755.5</v>
      </c>
      <c r="E25" s="142">
        <f t="shared" si="0"/>
        <v>8.5</v>
      </c>
      <c r="F25" s="146">
        <f>11-E25</f>
        <v>2.5</v>
      </c>
      <c r="G25" s="142"/>
      <c r="H25" s="142"/>
      <c r="I25" s="142" t="s">
        <v>153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4105</v>
      </c>
      <c r="D26" s="72">
        <v>4114</v>
      </c>
      <c r="E26" s="142">
        <f t="shared" si="0"/>
        <v>9</v>
      </c>
      <c r="F26" s="146">
        <f>11-E26</f>
        <v>2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4538</v>
      </c>
      <c r="D27" s="72">
        <v>4538.5</v>
      </c>
      <c r="E27" s="142">
        <f t="shared" si="0"/>
        <v>0.5</v>
      </c>
      <c r="F27" s="146">
        <f>11-E27</f>
        <v>10.5</v>
      </c>
      <c r="G27" s="142"/>
      <c r="H27" s="142"/>
      <c r="I27" s="142" t="s">
        <v>162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13434-DBA4-4D67-85AC-2F440D245D9D}">
  <sheetPr codeName="Sheet61">
    <pageSetUpPr fitToPage="1"/>
  </sheetPr>
  <dimension ref="A1:M43"/>
  <sheetViews>
    <sheetView zoomScale="85" zoomScaleNormal="85" workbookViewId="0">
      <selection activeCell="C25" sqref="C25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45989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165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154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11807</v>
      </c>
      <c r="D21" s="72">
        <v>11812</v>
      </c>
      <c r="E21" s="142">
        <f>D21-C21</f>
        <v>5</v>
      </c>
      <c r="F21" s="146">
        <f>11-E21</f>
        <v>6</v>
      </c>
      <c r="G21" s="146"/>
      <c r="H21" s="146"/>
      <c r="I21" s="142" t="s">
        <v>168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3694</v>
      </c>
      <c r="D22" s="177">
        <v>3701</v>
      </c>
      <c r="E22" s="142">
        <f t="shared" ref="E22:E27" si="0">D22-C22</f>
        <v>7</v>
      </c>
      <c r="F22" s="146">
        <f>11-E22</f>
        <v>4</v>
      </c>
      <c r="G22" s="142"/>
      <c r="H22" s="142"/>
      <c r="I22" s="142" t="s">
        <v>169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4202</v>
      </c>
      <c r="D23" s="72">
        <v>4207</v>
      </c>
      <c r="E23" s="142">
        <f t="shared" si="0"/>
        <v>5</v>
      </c>
      <c r="F23" s="146">
        <f>11-E23</f>
        <v>6</v>
      </c>
      <c r="G23" s="142"/>
      <c r="H23" s="142"/>
      <c r="I23" s="142" t="s">
        <v>170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7755.5</v>
      </c>
      <c r="D25" s="72">
        <v>7758.3</v>
      </c>
      <c r="E25" s="142">
        <f t="shared" si="0"/>
        <v>2.8000000000001819</v>
      </c>
      <c r="F25" s="146">
        <f>11-E25</f>
        <v>8.1999999999998181</v>
      </c>
      <c r="G25" s="142"/>
      <c r="H25" s="142"/>
      <c r="I25" s="142" t="s">
        <v>171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4114</v>
      </c>
      <c r="D26" s="72">
        <v>4120</v>
      </c>
      <c r="E26" s="142">
        <f t="shared" si="0"/>
        <v>6</v>
      </c>
      <c r="F26" s="146">
        <f>11-E26</f>
        <v>5</v>
      </c>
      <c r="G26" s="142"/>
      <c r="H26" s="142"/>
      <c r="I26" s="142" t="s">
        <v>137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4538.5</v>
      </c>
      <c r="D27" s="72">
        <v>4538.5</v>
      </c>
      <c r="E27" s="142">
        <f t="shared" si="0"/>
        <v>0</v>
      </c>
      <c r="F27" s="146">
        <f>11-E27</f>
        <v>11</v>
      </c>
      <c r="G27" s="142"/>
      <c r="H27" s="142"/>
      <c r="I27" s="142" t="s">
        <v>167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166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708CF-D88F-4230-9D6E-2BF76238C633}">
  <sheetPr codeName="Sheet62">
    <pageSetUpPr fitToPage="1"/>
  </sheetPr>
  <dimension ref="A1:M43"/>
  <sheetViews>
    <sheetView zoomScale="85" zoomScaleNormal="85" workbookViewId="0">
      <selection activeCell="D27" sqref="D27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45990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175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11812</v>
      </c>
      <c r="D21" s="72">
        <v>11816.1</v>
      </c>
      <c r="E21" s="142">
        <f>D21-C21</f>
        <v>4.1000000000003638</v>
      </c>
      <c r="F21" s="146">
        <f>11-E21</f>
        <v>6.8999999999996362</v>
      </c>
      <c r="G21" s="146"/>
      <c r="H21" s="146"/>
      <c r="I21" s="142" t="s">
        <v>178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3701</v>
      </c>
      <c r="D22" s="177">
        <v>3707</v>
      </c>
      <c r="E22" s="142">
        <f t="shared" ref="E22:E27" si="0">D22-C22</f>
        <v>6</v>
      </c>
      <c r="F22" s="146">
        <f>11-E22</f>
        <v>5</v>
      </c>
      <c r="G22" s="142"/>
      <c r="H22" s="142"/>
      <c r="I22" s="142" t="s">
        <v>179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4207</v>
      </c>
      <c r="D23" s="72">
        <v>4210</v>
      </c>
      <c r="E23" s="142">
        <f t="shared" si="0"/>
        <v>3</v>
      </c>
      <c r="F23" s="146">
        <f>11-E23</f>
        <v>8</v>
      </c>
      <c r="G23" s="142"/>
      <c r="H23" s="142"/>
      <c r="I23" s="142" t="s">
        <v>180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>
        <v>7758.3</v>
      </c>
      <c r="D25" s="72">
        <v>7758.3</v>
      </c>
      <c r="E25" s="142">
        <f t="shared" si="0"/>
        <v>0</v>
      </c>
      <c r="F25" s="146">
        <v>0</v>
      </c>
      <c r="G25" s="146">
        <f>11-0</f>
        <v>11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4120</v>
      </c>
      <c r="D26" s="72">
        <v>4123</v>
      </c>
      <c r="E26" s="142">
        <f t="shared" si="0"/>
        <v>3</v>
      </c>
      <c r="F26" s="146">
        <f>11-E26</f>
        <v>8</v>
      </c>
      <c r="G26" s="142"/>
      <c r="H26" s="142"/>
      <c r="I26" s="142" t="s">
        <v>182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4538.5</v>
      </c>
      <c r="D27" s="72">
        <v>4540</v>
      </c>
      <c r="E27" s="142">
        <f t="shared" si="0"/>
        <v>1.5</v>
      </c>
      <c r="F27" s="146">
        <f>11-E27</f>
        <v>9.5</v>
      </c>
      <c r="G27" s="142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166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5FA5-604E-48BD-B0C1-9BD46CF82746}">
  <sheetPr codeName="Sheet63">
    <pageSetUpPr fitToPage="1"/>
  </sheetPr>
  <dimension ref="A1:M43"/>
  <sheetViews>
    <sheetView zoomScale="85" zoomScaleNormal="85" workbookViewId="0">
      <selection activeCell="D23" sqref="D23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45991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186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11816.1</v>
      </c>
      <c r="D21" s="72">
        <v>11823.1</v>
      </c>
      <c r="E21" s="142">
        <f>D21-C21</f>
        <v>7</v>
      </c>
      <c r="F21" s="146">
        <f>11-E21</f>
        <v>4</v>
      </c>
      <c r="G21" s="146"/>
      <c r="H21" s="146"/>
      <c r="I21" s="142" t="s">
        <v>187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3707</v>
      </c>
      <c r="D22" s="177">
        <v>3713</v>
      </c>
      <c r="E22" s="142">
        <f t="shared" ref="E22:E27" si="0">D22-C22</f>
        <v>6</v>
      </c>
      <c r="F22" s="146">
        <f>11-E22</f>
        <v>5</v>
      </c>
      <c r="G22" s="142"/>
      <c r="H22" s="142"/>
      <c r="I22" s="142" t="s">
        <v>188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4219</v>
      </c>
      <c r="D23" s="72">
        <v>4223</v>
      </c>
      <c r="E23" s="142">
        <f t="shared" si="0"/>
        <v>4</v>
      </c>
      <c r="F23" s="146">
        <f>11-E23</f>
        <v>7</v>
      </c>
      <c r="G23" s="142"/>
      <c r="H23" s="142"/>
      <c r="I23" s="142" t="s">
        <v>180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f>11-0</f>
        <v>11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4123</v>
      </c>
      <c r="D26" s="72">
        <v>4130</v>
      </c>
      <c r="E26" s="142">
        <f t="shared" si="0"/>
        <v>7</v>
      </c>
      <c r="F26" s="146">
        <f>11-E26</f>
        <v>4</v>
      </c>
      <c r="G26" s="142"/>
      <c r="H26" s="142"/>
      <c r="I26" s="142" t="s">
        <v>182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4540</v>
      </c>
      <c r="D27" s="72">
        <v>4548.3999999999996</v>
      </c>
      <c r="E27" s="142">
        <f t="shared" si="0"/>
        <v>8.3999999999996362</v>
      </c>
      <c r="F27" s="146"/>
      <c r="G27" s="146">
        <v>2.6</v>
      </c>
      <c r="H27" s="142"/>
      <c r="I27" s="142" t="s">
        <v>189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191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FBC6-8363-40A5-BBDE-938F5CEE8F45}">
  <sheetPr codeName="Sheet64">
    <pageSetUpPr fitToPage="1"/>
  </sheetPr>
  <dimension ref="A1:M43"/>
  <sheetViews>
    <sheetView zoomScale="85" zoomScaleNormal="85" workbookViewId="0">
      <selection activeCell="D27" sqref="D27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45992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194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11.5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11.5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11.5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11.5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11.5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11.5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11823.1</v>
      </c>
      <c r="D21" s="72">
        <v>11826.9</v>
      </c>
      <c r="E21" s="142">
        <f>D21-C21</f>
        <v>3.7999999999992724</v>
      </c>
      <c r="F21" s="146">
        <f>11-E21</f>
        <v>7.2000000000007276</v>
      </c>
      <c r="G21" s="146"/>
      <c r="H21" s="146"/>
      <c r="I21" s="142" t="s">
        <v>187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3713</v>
      </c>
      <c r="D22" s="177">
        <v>3715</v>
      </c>
      <c r="E22" s="142">
        <f t="shared" ref="E22:E27" si="0">D22-C22</f>
        <v>2</v>
      </c>
      <c r="F22" s="146">
        <f>11-E22</f>
        <v>9</v>
      </c>
      <c r="G22" s="142"/>
      <c r="H22" s="142"/>
      <c r="I22" s="142" t="s">
        <v>188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4217</v>
      </c>
      <c r="D23" s="72">
        <v>4219</v>
      </c>
      <c r="E23" s="142">
        <f t="shared" si="0"/>
        <v>2</v>
      </c>
      <c r="F23" s="146">
        <f>11-E23</f>
        <v>9</v>
      </c>
      <c r="G23" s="142"/>
      <c r="H23" s="142"/>
      <c r="I23" s="142" t="s">
        <v>180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/>
      <c r="G24" s="146">
        <v>11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f>11-0</f>
        <v>11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4130</v>
      </c>
      <c r="D26" s="72">
        <v>4133</v>
      </c>
      <c r="E26" s="142">
        <f t="shared" si="0"/>
        <v>3</v>
      </c>
      <c r="F26" s="146">
        <f>11-E26</f>
        <v>8</v>
      </c>
      <c r="G26" s="142"/>
      <c r="H26" s="142"/>
      <c r="I26" s="142" t="s">
        <v>182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4548.3999999999996</v>
      </c>
      <c r="D27" s="72">
        <v>4551</v>
      </c>
      <c r="E27" s="142">
        <f t="shared" si="0"/>
        <v>2.6000000000003638</v>
      </c>
      <c r="F27" s="146">
        <f>11-E27</f>
        <v>8.3999999999996362</v>
      </c>
      <c r="G27" s="146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191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E30D-FF8F-4E57-80BA-CFFD3BCCFBB1}">
  <sheetPr codeName="Sheet65">
    <pageSetUpPr fitToPage="1"/>
  </sheetPr>
  <dimension ref="A1:M43"/>
  <sheetViews>
    <sheetView zoomScale="85" zoomScaleNormal="85" workbookViewId="0">
      <selection activeCell="G25" sqref="G25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45993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195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0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10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11826.9</v>
      </c>
      <c r="D21" s="72">
        <v>11835.3</v>
      </c>
      <c r="E21" s="142">
        <f>D21-C21</f>
        <v>8.3999999999996362</v>
      </c>
      <c r="F21" s="146">
        <f>10-E21</f>
        <v>1.6000000000003638</v>
      </c>
      <c r="G21" s="146"/>
      <c r="H21" s="146"/>
      <c r="I21" s="142" t="s">
        <v>187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3715</v>
      </c>
      <c r="D22" s="177">
        <v>3715</v>
      </c>
      <c r="E22" s="142">
        <f t="shared" ref="E22:E27" si="0">D22-C22</f>
        <v>0</v>
      </c>
      <c r="F22" s="146">
        <f t="shared" ref="F22:F27" si="1">10-E22</f>
        <v>10</v>
      </c>
      <c r="G22" s="142">
        <v>0</v>
      </c>
      <c r="H22" s="142"/>
      <c r="I22" s="142" t="s">
        <v>199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4219</v>
      </c>
      <c r="D23" s="72">
        <v>4223</v>
      </c>
      <c r="E23" s="142">
        <f t="shared" si="0"/>
        <v>4</v>
      </c>
      <c r="F23" s="146">
        <f t="shared" si="1"/>
        <v>6</v>
      </c>
      <c r="G23" s="142"/>
      <c r="H23" s="142"/>
      <c r="I23" s="142" t="s">
        <v>180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>
        <v>0</v>
      </c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v>0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4133</v>
      </c>
      <c r="D26" s="72">
        <v>4140</v>
      </c>
      <c r="E26" s="142">
        <f t="shared" si="0"/>
        <v>7</v>
      </c>
      <c r="F26" s="146">
        <f t="shared" si="1"/>
        <v>3</v>
      </c>
      <c r="G26" s="142"/>
      <c r="H26" s="142"/>
      <c r="I26" s="142" t="s">
        <v>182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4551</v>
      </c>
      <c r="D27" s="72">
        <v>4554.5</v>
      </c>
      <c r="E27" s="142">
        <f t="shared" si="0"/>
        <v>3.5</v>
      </c>
      <c r="F27" s="146">
        <f t="shared" si="1"/>
        <v>6.5</v>
      </c>
      <c r="G27" s="146">
        <v>4</v>
      </c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198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461B7-0D2F-42AE-AB44-9E070733DEF2}">
  <sheetPr codeName="Sheet66">
    <pageSetUpPr fitToPage="1"/>
  </sheetPr>
  <dimension ref="A1:M43"/>
  <sheetViews>
    <sheetView zoomScale="85" zoomScaleNormal="85" workbookViewId="0">
      <selection activeCell="F25" sqref="F25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45994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201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10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10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11835.3</v>
      </c>
      <c r="D21" s="72">
        <v>11837.1</v>
      </c>
      <c r="E21" s="142">
        <f>D21-C21</f>
        <v>1.8000000000010914</v>
      </c>
      <c r="F21" s="146">
        <f>10-E21</f>
        <v>8.1999999999989086</v>
      </c>
      <c r="G21" s="146"/>
      <c r="H21" s="146"/>
      <c r="I21" s="142" t="s">
        <v>187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3715</v>
      </c>
      <c r="D22" s="177">
        <v>3715</v>
      </c>
      <c r="E22" s="142">
        <f t="shared" ref="E22:E27" si="0">D22-C22</f>
        <v>0</v>
      </c>
      <c r="F22" s="146">
        <f t="shared" ref="F22:F27" si="1">10-E22</f>
        <v>10</v>
      </c>
      <c r="G22" s="142">
        <v>10</v>
      </c>
      <c r="H22" s="142"/>
      <c r="I22" s="142" t="s">
        <v>199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4223</v>
      </c>
      <c r="D23" s="72">
        <v>4228</v>
      </c>
      <c r="E23" s="142">
        <f t="shared" si="0"/>
        <v>5</v>
      </c>
      <c r="F23" s="146">
        <f t="shared" si="1"/>
        <v>5</v>
      </c>
      <c r="G23" s="142"/>
      <c r="H23" s="142"/>
      <c r="I23" s="142" t="s">
        <v>196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>
        <v>0</v>
      </c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v>10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4140</v>
      </c>
      <c r="D26" s="72">
        <v>4145</v>
      </c>
      <c r="E26" s="142">
        <f t="shared" si="0"/>
        <v>5</v>
      </c>
      <c r="F26" s="146">
        <f t="shared" si="1"/>
        <v>5</v>
      </c>
      <c r="G26" s="142"/>
      <c r="H26" s="142"/>
      <c r="I26" s="142" t="s">
        <v>197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4554.5</v>
      </c>
      <c r="D27" s="72">
        <v>4558.8</v>
      </c>
      <c r="E27" s="142">
        <f t="shared" si="0"/>
        <v>4.3000000000001819</v>
      </c>
      <c r="F27" s="146">
        <f t="shared" si="1"/>
        <v>5.6999999999998181</v>
      </c>
      <c r="G27" s="146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200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FF00D-DCE9-453C-8337-FD0CF6B9F8CF}">
  <sheetPr codeName="Sheet67">
    <pageSetUpPr fitToPage="1"/>
  </sheetPr>
  <dimension ref="A1:M43"/>
  <sheetViews>
    <sheetView zoomScale="85" zoomScaleNormal="85" workbookViewId="0">
      <selection activeCell="F25" sqref="F25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45995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202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10</v>
      </c>
      <c r="D12" s="146"/>
      <c r="E12" s="146"/>
      <c r="F12" s="240" t="s">
        <v>157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158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177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176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0" t="s">
        <v>160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10</v>
      </c>
      <c r="D17" s="142"/>
      <c r="E17" s="147"/>
      <c r="F17" s="240" t="s">
        <v>157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11837.1</v>
      </c>
      <c r="D21" s="72">
        <v>11844.2</v>
      </c>
      <c r="E21" s="142">
        <f>D21-C21</f>
        <v>7.1000000000003638</v>
      </c>
      <c r="F21" s="146">
        <f>10-E21</f>
        <v>2.8999999999996362</v>
      </c>
      <c r="G21" s="146"/>
      <c r="H21" s="146"/>
      <c r="I21" s="142" t="s">
        <v>187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3715</v>
      </c>
      <c r="D22" s="177">
        <v>3715</v>
      </c>
      <c r="E22" s="142">
        <f t="shared" ref="E22:E27" si="0">D22-C22</f>
        <v>0</v>
      </c>
      <c r="F22" s="146">
        <f t="shared" ref="F22:F27" si="1">10-E22</f>
        <v>10</v>
      </c>
      <c r="G22" s="142">
        <v>10</v>
      </c>
      <c r="H22" s="142"/>
      <c r="I22" s="142" t="s">
        <v>199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4228</v>
      </c>
      <c r="D23" s="72">
        <v>4235</v>
      </c>
      <c r="E23" s="142">
        <f t="shared" si="0"/>
        <v>7</v>
      </c>
      <c r="F23" s="146">
        <f t="shared" si="1"/>
        <v>3</v>
      </c>
      <c r="G23" s="142"/>
      <c r="H23" s="142"/>
      <c r="I23" s="142" t="s">
        <v>196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>
        <v>0</v>
      </c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v>10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4145</v>
      </c>
      <c r="D26" s="72">
        <v>4149</v>
      </c>
      <c r="E26" s="142">
        <f t="shared" si="0"/>
        <v>4</v>
      </c>
      <c r="F26" s="146">
        <f t="shared" si="1"/>
        <v>6</v>
      </c>
      <c r="G26" s="142"/>
      <c r="H26" s="142"/>
      <c r="I26" s="142" t="s">
        <v>197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4558.8</v>
      </c>
      <c r="D27" s="72">
        <v>4564.5</v>
      </c>
      <c r="E27" s="142">
        <f t="shared" si="0"/>
        <v>5.6999999999998181</v>
      </c>
      <c r="F27" s="146">
        <f t="shared" si="1"/>
        <v>4.3000000000001819</v>
      </c>
      <c r="G27" s="146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2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2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200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6C42C-A5F4-4672-A373-8D1BFA507BC4}">
  <sheetPr codeName="Sheet68">
    <pageSetUpPr fitToPage="1"/>
  </sheetPr>
  <dimension ref="A1:M43"/>
  <sheetViews>
    <sheetView zoomScale="85" zoomScaleNormal="85" workbookViewId="0">
      <selection activeCell="G27" sqref="G27"/>
    </sheetView>
  </sheetViews>
  <sheetFormatPr defaultRowHeight="14.5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45997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x14ac:dyDescent="0.35">
      <c r="A7" s="126"/>
      <c r="B7" s="223" t="s">
        <v>205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76">
        <v>10</v>
      </c>
      <c r="D12" s="146"/>
      <c r="E12" s="146"/>
      <c r="F12" s="240" t="s">
        <v>204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76">
        <v>10</v>
      </c>
      <c r="D13" s="142"/>
      <c r="E13" s="142"/>
      <c r="F13" s="240" t="s">
        <v>204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76">
        <v>10</v>
      </c>
      <c r="D14" s="142"/>
      <c r="E14" s="142"/>
      <c r="F14" s="240" t="s">
        <v>204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76">
        <v>10</v>
      </c>
      <c r="D15" s="142"/>
      <c r="E15" s="142"/>
      <c r="F15" s="240" t="s">
        <v>204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76">
        <v>10</v>
      </c>
      <c r="D16" s="142"/>
      <c r="E16" s="142"/>
      <c r="F16" s="240" t="s">
        <v>204</v>
      </c>
      <c r="G16" s="241"/>
      <c r="H16" s="241"/>
      <c r="I16" s="242"/>
      <c r="J16" s="157"/>
      <c r="K16" s="157"/>
      <c r="L16" s="156"/>
      <c r="M16" s="128"/>
    </row>
    <row r="17" spans="1:13" ht="22" customHeight="1" thickBot="1" x14ac:dyDescent="0.4">
      <c r="A17" s="126"/>
      <c r="B17" s="143" t="s">
        <v>92</v>
      </c>
      <c r="C17" s="176">
        <v>10</v>
      </c>
      <c r="D17" s="142"/>
      <c r="E17" s="147"/>
      <c r="F17" s="240" t="s">
        <v>204</v>
      </c>
      <c r="G17" s="241"/>
      <c r="H17" s="241"/>
      <c r="I17" s="242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79">
        <v>11.5</v>
      </c>
      <c r="D18" s="142"/>
      <c r="E18" s="147"/>
      <c r="F18" s="236" t="s">
        <v>20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thickBot="1" x14ac:dyDescent="0.4">
      <c r="A21" s="126"/>
      <c r="B21" s="148" t="s">
        <v>85</v>
      </c>
      <c r="C21" s="72">
        <v>11844.2</v>
      </c>
      <c r="D21" s="72">
        <v>11844.2</v>
      </c>
      <c r="E21" s="142">
        <f>D21-C21</f>
        <v>0</v>
      </c>
      <c r="F21" s="146">
        <f>10-E21</f>
        <v>10</v>
      </c>
      <c r="G21" s="146"/>
      <c r="H21" s="146"/>
      <c r="I21" s="142" t="s">
        <v>203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7">
        <v>3715</v>
      </c>
      <c r="D22" s="177">
        <v>3715</v>
      </c>
      <c r="E22" s="142">
        <f t="shared" ref="E22:E27" si="0">D22-C22</f>
        <v>0</v>
      </c>
      <c r="F22" s="146">
        <f t="shared" ref="F22:F27" si="1">10-E22</f>
        <v>10</v>
      </c>
      <c r="G22" s="142"/>
      <c r="H22" s="142"/>
      <c r="I22" s="142" t="s">
        <v>203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4235</v>
      </c>
      <c r="D23" s="72">
        <v>4235</v>
      </c>
      <c r="E23" s="142">
        <f t="shared" si="0"/>
        <v>0</v>
      </c>
      <c r="F23" s="146">
        <f t="shared" si="1"/>
        <v>10</v>
      </c>
      <c r="G23" s="142"/>
      <c r="H23" s="142"/>
      <c r="I23" s="142" t="s">
        <v>203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>
        <f t="shared" si="0"/>
        <v>0</v>
      </c>
      <c r="F24" s="146">
        <v>0</v>
      </c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>
        <f t="shared" si="0"/>
        <v>0</v>
      </c>
      <c r="F25" s="146">
        <v>0</v>
      </c>
      <c r="G25" s="146">
        <v>10</v>
      </c>
      <c r="H25" s="142"/>
      <c r="I25" s="142" t="s">
        <v>181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4149</v>
      </c>
      <c r="D26" s="72">
        <v>4149</v>
      </c>
      <c r="E26" s="142">
        <f t="shared" si="0"/>
        <v>0</v>
      </c>
      <c r="F26" s="146">
        <v>0</v>
      </c>
      <c r="G26" s="142">
        <v>10</v>
      </c>
      <c r="H26" s="142"/>
      <c r="I26" s="142" t="s">
        <v>181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4564.5</v>
      </c>
      <c r="D27" s="72">
        <v>4564.5</v>
      </c>
      <c r="E27" s="142">
        <f t="shared" si="0"/>
        <v>0</v>
      </c>
      <c r="F27" s="146">
        <f t="shared" si="1"/>
        <v>10</v>
      </c>
      <c r="G27" s="146"/>
      <c r="H27" s="142"/>
      <c r="I27" s="142" t="s">
        <v>203</v>
      </c>
      <c r="J27" s="124"/>
      <c r="K27" s="124"/>
      <c r="L27" s="136"/>
      <c r="M27" s="128"/>
    </row>
    <row r="28" spans="1:13" ht="22" customHeight="1" x14ac:dyDescent="0.35">
      <c r="A28" s="126"/>
      <c r="B28" s="73" t="s">
        <v>9</v>
      </c>
      <c r="C28" s="73"/>
      <c r="D28" s="73"/>
      <c r="E28" s="73">
        <v>11</v>
      </c>
      <c r="F28" s="73"/>
      <c r="G28" s="73"/>
      <c r="H28" s="168"/>
      <c r="I28" s="168"/>
      <c r="J28" s="124"/>
      <c r="K28" s="124"/>
      <c r="L28" s="136"/>
      <c r="M28" s="128"/>
    </row>
    <row r="29" spans="1:13" ht="22" customHeight="1" x14ac:dyDescent="0.35">
      <c r="A29" s="126"/>
      <c r="B29" s="73" t="s">
        <v>10</v>
      </c>
      <c r="C29" s="73"/>
      <c r="D29" s="73"/>
      <c r="E29" s="73">
        <v>11</v>
      </c>
      <c r="F29" s="73"/>
      <c r="G29" s="73"/>
      <c r="H29" s="168"/>
      <c r="I29" s="168"/>
      <c r="J29" s="124"/>
      <c r="K29" s="124"/>
      <c r="L29" s="136"/>
      <c r="M29" s="128"/>
    </row>
    <row r="30" spans="1:13" ht="22" customHeight="1" x14ac:dyDescent="0.35">
      <c r="A30" s="126"/>
      <c r="B30" s="73" t="s">
        <v>11</v>
      </c>
      <c r="C30" s="73"/>
      <c r="D30" s="73"/>
      <c r="E30" s="73">
        <v>11</v>
      </c>
      <c r="F30" s="73"/>
      <c r="G30" s="73"/>
      <c r="H30" s="168"/>
      <c r="I30" s="166"/>
      <c r="J30" s="124"/>
      <c r="K30" s="124"/>
      <c r="L30" s="136"/>
      <c r="M30" s="128"/>
    </row>
    <row r="31" spans="1:13" ht="22" customHeight="1" x14ac:dyDescent="0.35">
      <c r="A31" s="126"/>
      <c r="B31" s="73" t="s">
        <v>21</v>
      </c>
      <c r="C31" s="73"/>
      <c r="D31" s="73"/>
      <c r="E31" s="73"/>
      <c r="F31" s="73"/>
      <c r="G31" s="73"/>
      <c r="H31" s="168">
        <v>1</v>
      </c>
      <c r="I31" s="166"/>
      <c r="J31" s="124"/>
      <c r="K31" s="124"/>
      <c r="L31" s="136"/>
      <c r="M31" s="128"/>
    </row>
    <row r="32" spans="1:13" ht="22" customHeight="1" thickBot="1" x14ac:dyDescent="0.4">
      <c r="A32" s="126"/>
      <c r="B32" s="73" t="s">
        <v>22</v>
      </c>
      <c r="C32" s="73"/>
      <c r="D32" s="73"/>
      <c r="E32" s="73"/>
      <c r="F32" s="73"/>
      <c r="G32" s="73"/>
      <c r="H32" s="169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192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206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18:I18"/>
    <mergeCell ref="F19:I19"/>
    <mergeCell ref="F12:I12"/>
    <mergeCell ref="F13:I13"/>
    <mergeCell ref="F14:I14"/>
    <mergeCell ref="F15:I15"/>
    <mergeCell ref="F16:I16"/>
    <mergeCell ref="F17:I17"/>
    <mergeCell ref="F2:I3"/>
    <mergeCell ref="B4:E4"/>
    <mergeCell ref="B7:L8"/>
    <mergeCell ref="B9:L10"/>
    <mergeCell ref="F11:I11"/>
    <mergeCell ref="J11:L11"/>
  </mergeCells>
  <pageMargins left="0.75" right="0.75" top="1" bottom="1" header="0.5" footer="0.5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D176-AECD-461A-A0AC-2B7C31B37023}">
  <sheetPr codeName="Sheet69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45998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222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221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220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0</v>
      </c>
      <c r="D14" s="142"/>
      <c r="E14" s="142"/>
      <c r="F14" s="240" t="s">
        <v>219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218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217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216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90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11844.2</v>
      </c>
      <c r="D21" s="72">
        <v>11846.6</v>
      </c>
      <c r="E21" s="142">
        <f>D21-C21</f>
        <v>2.3999999999996362</v>
      </c>
      <c r="F21" s="146">
        <f>11-E21</f>
        <v>8.6000000000003638</v>
      </c>
      <c r="G21" s="146"/>
      <c r="H21" s="146"/>
      <c r="I21" s="142" t="s">
        <v>214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3716</v>
      </c>
      <c r="D22" s="175">
        <v>3722</v>
      </c>
      <c r="E22" s="142">
        <f>D22-C22</f>
        <v>6</v>
      </c>
      <c r="F22" s="146">
        <v>4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4235</v>
      </c>
      <c r="D23" s="72">
        <v>4242</v>
      </c>
      <c r="E23" s="142">
        <f>D23-C23</f>
        <v>7</v>
      </c>
      <c r="F23" s="146">
        <v>3</v>
      </c>
      <c r="G23" s="142"/>
      <c r="H23" s="142"/>
      <c r="I23" s="142" t="s">
        <v>122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/>
      <c r="F24" s="146"/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/>
      <c r="F25" s="146"/>
      <c r="G25" s="142">
        <v>10</v>
      </c>
      <c r="H25" s="142"/>
      <c r="I25" s="142" t="s">
        <v>38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/>
      <c r="D26" s="72"/>
      <c r="E26" s="142"/>
      <c r="F26" s="146"/>
      <c r="G26" s="142">
        <v>10</v>
      </c>
      <c r="H26" s="142"/>
      <c r="I26" s="142" t="s">
        <v>213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4563.3999999999996</v>
      </c>
      <c r="D27" s="72">
        <v>4566.8999999999996</v>
      </c>
      <c r="E27" s="142">
        <f>D27-C27</f>
        <v>3.5</v>
      </c>
      <c r="F27" s="146">
        <v>6.5</v>
      </c>
      <c r="G27" s="142"/>
      <c r="H27" s="142"/>
      <c r="I27" s="142" t="s">
        <v>131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210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E92AE-880E-46DA-B0E9-EF2102E2B263}">
  <sheetPr codeName="Sheet70">
    <pageSetUpPr fitToPage="1"/>
  </sheetPr>
  <dimension ref="A1:M43"/>
  <sheetViews>
    <sheetView topLeftCell="A4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45999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224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225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220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0</v>
      </c>
      <c r="D14" s="142"/>
      <c r="E14" s="142"/>
      <c r="F14" s="240" t="s">
        <v>219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226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227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216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11846.6</v>
      </c>
      <c r="D21" s="72">
        <v>11849.6</v>
      </c>
      <c r="E21" s="142">
        <f t="shared" ref="E21:E27" si="0">D21-C21</f>
        <v>3</v>
      </c>
      <c r="F21" s="146">
        <v>7</v>
      </c>
      <c r="G21" s="146"/>
      <c r="H21" s="146"/>
      <c r="I21" s="142" t="s">
        <v>229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4242</v>
      </c>
      <c r="D22" s="175">
        <v>4246</v>
      </c>
      <c r="E22" s="142">
        <f t="shared" si="0"/>
        <v>4</v>
      </c>
      <c r="F22" s="146">
        <v>6</v>
      </c>
      <c r="G22" s="142"/>
      <c r="H22" s="142"/>
      <c r="I22" s="142" t="s">
        <v>128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3722</v>
      </c>
      <c r="D23" s="72">
        <v>3727</v>
      </c>
      <c r="E23" s="142">
        <f t="shared" si="0"/>
        <v>5</v>
      </c>
      <c r="F23" s="146">
        <v>5</v>
      </c>
      <c r="G23" s="142"/>
      <c r="H23" s="142"/>
      <c r="I23" s="142" t="s">
        <v>230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/>
      <c r="F24" s="146"/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/>
      <c r="F25" s="146"/>
      <c r="G25" s="142">
        <v>10</v>
      </c>
      <c r="H25" s="142"/>
      <c r="I25" s="142" t="s">
        <v>38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/>
      <c r="D26" s="72"/>
      <c r="E26" s="142"/>
      <c r="F26" s="146"/>
      <c r="G26" s="142">
        <v>10</v>
      </c>
      <c r="H26" s="142"/>
      <c r="I26" s="142" t="s">
        <v>213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4566.8999999999996</v>
      </c>
      <c r="D27" s="72">
        <v>4566.8999999999996</v>
      </c>
      <c r="E27" s="142">
        <f t="shared" si="0"/>
        <v>0</v>
      </c>
      <c r="F27" s="146">
        <v>10</v>
      </c>
      <c r="G27" s="142"/>
      <c r="H27" s="142"/>
      <c r="I27" s="142" t="s">
        <v>231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210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5E19-34D6-418D-BA7B-0B3C1A7B7354}">
  <sheetPr codeName="Sheet72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46000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232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225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233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0</v>
      </c>
      <c r="D14" s="142"/>
      <c r="E14" s="142"/>
      <c r="F14" s="240" t="s">
        <v>219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234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235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216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11846.6</v>
      </c>
      <c r="D21" s="72">
        <v>11849.6</v>
      </c>
      <c r="E21" s="142">
        <f t="shared" ref="E21:E27" si="0">D21-C21</f>
        <v>3</v>
      </c>
      <c r="F21" s="146">
        <v>7</v>
      </c>
      <c r="G21" s="146"/>
      <c r="H21" s="146"/>
      <c r="I21" s="142" t="s">
        <v>229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4246</v>
      </c>
      <c r="D22" s="175">
        <v>4253</v>
      </c>
      <c r="E22" s="142">
        <f t="shared" si="0"/>
        <v>7</v>
      </c>
      <c r="F22" s="146">
        <v>3</v>
      </c>
      <c r="G22" s="142"/>
      <c r="H22" s="142"/>
      <c r="I22" s="142" t="s">
        <v>236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3727</v>
      </c>
      <c r="D23" s="72">
        <v>3734</v>
      </c>
      <c r="E23" s="142">
        <f t="shared" si="0"/>
        <v>7</v>
      </c>
      <c r="F23" s="146">
        <v>3</v>
      </c>
      <c r="G23" s="142"/>
      <c r="H23" s="142"/>
      <c r="I23" s="142" t="s">
        <v>230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82</v>
      </c>
      <c r="C24" s="72"/>
      <c r="D24" s="72"/>
      <c r="E24" s="142"/>
      <c r="F24" s="146"/>
      <c r="G24" s="146">
        <v>10</v>
      </c>
      <c r="H24" s="146"/>
      <c r="I24" s="142" t="s">
        <v>38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81</v>
      </c>
      <c r="C25" s="72"/>
      <c r="D25" s="72"/>
      <c r="E25" s="142"/>
      <c r="F25" s="146"/>
      <c r="G25" s="142">
        <v>10</v>
      </c>
      <c r="H25" s="142"/>
      <c r="I25" s="142" t="s">
        <v>38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4251</v>
      </c>
      <c r="D26" s="72">
        <v>4153</v>
      </c>
      <c r="E26" s="142">
        <v>2</v>
      </c>
      <c r="F26" s="146">
        <v>8</v>
      </c>
      <c r="G26" s="142"/>
      <c r="H26" s="142"/>
      <c r="I26" s="142" t="s">
        <v>237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4566.8999999999996</v>
      </c>
      <c r="D27" s="72">
        <v>4567.3</v>
      </c>
      <c r="E27" s="142">
        <f t="shared" si="0"/>
        <v>0.4000000000005457</v>
      </c>
      <c r="F27" s="146">
        <v>9.6</v>
      </c>
      <c r="G27" s="142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5096-45B8-4033-88EE-A1F4F228D409}">
  <sheetPr codeName="Sheet71">
    <pageSetUpPr fitToPage="1"/>
  </sheetPr>
  <dimension ref="A1:M43"/>
  <sheetViews>
    <sheetView topLeftCell="B1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46001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239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225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233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240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240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241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242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11849.6</v>
      </c>
      <c r="D21" s="72">
        <v>11857.7</v>
      </c>
      <c r="E21" s="142">
        <f t="shared" ref="E21:E27" si="0">D21-C21</f>
        <v>8.1000000000003638</v>
      </c>
      <c r="F21" s="146">
        <v>2.9</v>
      </c>
      <c r="G21" s="146"/>
      <c r="H21" s="146"/>
      <c r="I21" s="142" t="s">
        <v>243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3734</v>
      </c>
      <c r="D22" s="175">
        <v>3740</v>
      </c>
      <c r="E22" s="142">
        <v>6</v>
      </c>
      <c r="F22" s="146">
        <v>5</v>
      </c>
      <c r="G22" s="142"/>
      <c r="H22" s="142"/>
      <c r="I22" s="142" t="s">
        <v>244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4253</v>
      </c>
      <c r="D23" s="72">
        <v>4261</v>
      </c>
      <c r="E23" s="142">
        <f t="shared" si="0"/>
        <v>8</v>
      </c>
      <c r="F23" s="146">
        <v>3</v>
      </c>
      <c r="G23" s="142"/>
      <c r="H23" s="142"/>
      <c r="I23" s="142" t="s">
        <v>245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4409.8999999999996</v>
      </c>
      <c r="D24" s="72">
        <v>4415.8999999999996</v>
      </c>
      <c r="E24" s="142">
        <v>6</v>
      </c>
      <c r="F24" s="146">
        <v>5</v>
      </c>
      <c r="G24" s="146"/>
      <c r="H24" s="146"/>
      <c r="I24" s="142" t="s">
        <v>247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4660.8999999999996</v>
      </c>
      <c r="D25" s="72">
        <v>4666.1000000000004</v>
      </c>
      <c r="E25" s="142">
        <v>5.2</v>
      </c>
      <c r="F25" s="146">
        <v>5.8</v>
      </c>
      <c r="G25" s="142"/>
      <c r="H25" s="142"/>
      <c r="I25" s="142" t="s">
        <v>247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4153</v>
      </c>
      <c r="D26" s="72">
        <v>4157</v>
      </c>
      <c r="E26" s="142">
        <v>2</v>
      </c>
      <c r="F26" s="146">
        <v>9</v>
      </c>
      <c r="G26" s="142"/>
      <c r="H26" s="142"/>
      <c r="I26" s="142" t="s">
        <v>237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4567.3</v>
      </c>
      <c r="D27" s="72">
        <v>4567.7</v>
      </c>
      <c r="E27" s="142">
        <f t="shared" si="0"/>
        <v>0.3999999999996362</v>
      </c>
      <c r="F27" s="146">
        <v>10.6</v>
      </c>
      <c r="G27" s="142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249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86DDD-B56A-4AF5-8BA2-23981D72817E}">
  <sheetPr codeName="Sheet73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46002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253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225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233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240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240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254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242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11857.3</v>
      </c>
      <c r="E21" s="142"/>
      <c r="F21" s="146"/>
      <c r="G21" s="146">
        <v>11</v>
      </c>
      <c r="H21" s="146"/>
      <c r="I21" s="142" t="s">
        <v>255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3740</v>
      </c>
      <c r="D22" s="175">
        <v>3748</v>
      </c>
      <c r="E22" s="142">
        <v>8</v>
      </c>
      <c r="F22" s="146">
        <v>3</v>
      </c>
      <c r="G22" s="142"/>
      <c r="H22" s="142"/>
      <c r="I22" s="142" t="s">
        <v>256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4261</v>
      </c>
      <c r="D23" s="72">
        <v>4269</v>
      </c>
      <c r="E23" s="142">
        <f t="shared" ref="E23:E27" si="0">D23-C23</f>
        <v>8</v>
      </c>
      <c r="F23" s="146">
        <v>3</v>
      </c>
      <c r="G23" s="142"/>
      <c r="H23" s="142"/>
      <c r="I23" s="142" t="s">
        <v>257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4415.8999999999996</v>
      </c>
      <c r="D24" s="72">
        <v>4421.8999999999996</v>
      </c>
      <c r="E24" s="142">
        <v>6</v>
      </c>
      <c r="F24" s="146">
        <v>5</v>
      </c>
      <c r="G24" s="146"/>
      <c r="H24" s="146"/>
      <c r="I24" s="142" t="s">
        <v>247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4666.1000000000004</v>
      </c>
      <c r="D25" s="72">
        <v>4673.3999999999996</v>
      </c>
      <c r="E25" s="142">
        <v>7.3</v>
      </c>
      <c r="F25" s="146">
        <v>3.7</v>
      </c>
      <c r="G25" s="142"/>
      <c r="H25" s="142"/>
      <c r="I25" s="142" t="s">
        <v>247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4157</v>
      </c>
      <c r="D26" s="72">
        <v>4162</v>
      </c>
      <c r="E26" s="142">
        <v>5</v>
      </c>
      <c r="F26" s="146">
        <v>6</v>
      </c>
      <c r="G26" s="142"/>
      <c r="H26" s="142"/>
      <c r="I26" s="142" t="s">
        <v>237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4567.7</v>
      </c>
      <c r="D27" s="72">
        <v>4568.2</v>
      </c>
      <c r="E27" s="142">
        <f t="shared" si="0"/>
        <v>0.5</v>
      </c>
      <c r="F27" s="146">
        <v>10.6</v>
      </c>
      <c r="G27" s="142"/>
      <c r="H27" s="142"/>
      <c r="I27" s="142" t="s">
        <v>183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249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 t="s">
        <v>258</v>
      </c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9D4A7-7EF0-498F-B4C1-DD4A04E8BD09}">
  <sheetPr codeName="Sheet74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46003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259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260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233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240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240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254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261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11857.3</v>
      </c>
      <c r="E21" s="142"/>
      <c r="F21" s="146"/>
      <c r="G21" s="146">
        <v>11</v>
      </c>
      <c r="H21" s="146"/>
      <c r="I21" s="142" t="s">
        <v>255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3748</v>
      </c>
      <c r="D22" s="175">
        <v>3755</v>
      </c>
      <c r="E22" s="142">
        <v>8</v>
      </c>
      <c r="F22" s="146">
        <v>3</v>
      </c>
      <c r="G22" s="142"/>
      <c r="H22" s="142"/>
      <c r="I22" s="142" t="s">
        <v>256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4269</v>
      </c>
      <c r="D23" s="72">
        <v>4277</v>
      </c>
      <c r="E23" s="142">
        <f t="shared" ref="E23:E27" si="0">D23-C23</f>
        <v>8</v>
      </c>
      <c r="F23" s="146">
        <v>3</v>
      </c>
      <c r="G23" s="142"/>
      <c r="H23" s="142"/>
      <c r="I23" s="142" t="s">
        <v>261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4421.8</v>
      </c>
      <c r="D24" s="72">
        <v>4428.8</v>
      </c>
      <c r="E24" s="142">
        <v>7</v>
      </c>
      <c r="F24" s="146">
        <v>4</v>
      </c>
      <c r="G24" s="146"/>
      <c r="H24" s="146"/>
      <c r="I24" s="142" t="s">
        <v>247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4673.3999999999996</v>
      </c>
      <c r="D25" s="72">
        <v>4681.7</v>
      </c>
      <c r="E25" s="142">
        <v>8.3000000000000007</v>
      </c>
      <c r="F25" s="146">
        <v>3.7</v>
      </c>
      <c r="G25" s="142"/>
      <c r="H25" s="142"/>
      <c r="I25" s="142" t="s">
        <v>247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4162</v>
      </c>
      <c r="D26" s="72">
        <v>4170</v>
      </c>
      <c r="E26" s="142">
        <v>8</v>
      </c>
      <c r="F26" s="146">
        <v>3</v>
      </c>
      <c r="G26" s="142"/>
      <c r="H26" s="142"/>
      <c r="I26" s="142" t="s">
        <v>237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4568.2</v>
      </c>
      <c r="D27" s="72">
        <v>4568.2</v>
      </c>
      <c r="E27" s="142">
        <f t="shared" si="0"/>
        <v>0</v>
      </c>
      <c r="F27" s="146">
        <v>11</v>
      </c>
      <c r="G27" s="142"/>
      <c r="H27" s="142"/>
      <c r="I27" s="142" t="s">
        <v>262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249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 t="s">
        <v>258</v>
      </c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6E34A-A00F-440F-954A-C260EA859ADD}">
  <sheetPr codeName="Sheet75">
    <pageSetUpPr fitToPage="1"/>
  </sheetPr>
  <dimension ref="A1:M43"/>
  <sheetViews>
    <sheetView topLeftCell="A5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46004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263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/>
      <c r="D12" s="146"/>
      <c r="E12" s="146"/>
      <c r="F12" s="240" t="s">
        <v>264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233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240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265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254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261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11857.3</v>
      </c>
      <c r="E21" s="142"/>
      <c r="F21" s="146"/>
      <c r="G21" s="146">
        <v>11</v>
      </c>
      <c r="H21" s="146"/>
      <c r="I21" s="142" t="s">
        <v>255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3755</v>
      </c>
      <c r="D22" s="175">
        <v>3755</v>
      </c>
      <c r="E22" s="142">
        <v>8</v>
      </c>
      <c r="F22" s="146">
        <v>3</v>
      </c>
      <c r="G22" s="142"/>
      <c r="H22" s="142"/>
      <c r="I22" s="142" t="s">
        <v>167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4277</v>
      </c>
      <c r="D23" s="72">
        <v>4282</v>
      </c>
      <c r="E23" s="142">
        <f t="shared" ref="E23:E27" si="0">D23-C23</f>
        <v>5</v>
      </c>
      <c r="F23" s="146">
        <v>6</v>
      </c>
      <c r="G23" s="142"/>
      <c r="H23" s="142"/>
      <c r="I23" s="142" t="s">
        <v>266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4428.8</v>
      </c>
      <c r="D24" s="72">
        <v>4428.8</v>
      </c>
      <c r="E24" s="142"/>
      <c r="F24" s="146">
        <v>11</v>
      </c>
      <c r="G24" s="146"/>
      <c r="H24" s="146"/>
      <c r="I24" s="142" t="s">
        <v>267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4681.7</v>
      </c>
      <c r="D25" s="72">
        <v>4685.7</v>
      </c>
      <c r="E25" s="142">
        <v>4</v>
      </c>
      <c r="F25" s="146">
        <v>7</v>
      </c>
      <c r="G25" s="142"/>
      <c r="H25" s="142"/>
      <c r="I25" s="142" t="s">
        <v>247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4170</v>
      </c>
      <c r="D26" s="72">
        <v>4174</v>
      </c>
      <c r="E26" s="142">
        <v>8</v>
      </c>
      <c r="F26" s="146">
        <v>3</v>
      </c>
      <c r="G26" s="142"/>
      <c r="H26" s="142"/>
      <c r="I26" s="142" t="s">
        <v>237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4568.2</v>
      </c>
      <c r="D27" s="72">
        <v>4568.2</v>
      </c>
      <c r="E27" s="142">
        <f t="shared" si="0"/>
        <v>0</v>
      </c>
      <c r="F27" s="146">
        <v>11</v>
      </c>
      <c r="G27" s="142"/>
      <c r="H27" s="142"/>
      <c r="I27" s="142" t="s">
        <v>262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249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 t="s">
        <v>258</v>
      </c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851F-FE57-411A-BDBC-43E1E618D2A8}">
  <sheetPr codeName="Sheet76">
    <pageSetUpPr fitToPage="1"/>
  </sheetPr>
  <dimension ref="A1:M43"/>
  <sheetViews>
    <sheetView topLeftCell="D13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46005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272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270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270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10</v>
      </c>
      <c r="D14" s="142"/>
      <c r="E14" s="142"/>
      <c r="F14" s="240" t="s">
        <v>270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270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270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270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11857.3</v>
      </c>
      <c r="E21" s="142"/>
      <c r="F21" s="146"/>
      <c r="G21" s="146">
        <v>11</v>
      </c>
      <c r="H21" s="146"/>
      <c r="I21" s="142" t="s">
        <v>255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3755</v>
      </c>
      <c r="D22" s="175">
        <v>3755</v>
      </c>
      <c r="E22" s="142"/>
      <c r="F22" s="146">
        <v>10</v>
      </c>
      <c r="G22" s="142"/>
      <c r="H22" s="142"/>
      <c r="I22" s="142" t="s">
        <v>271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4282</v>
      </c>
      <c r="D23" s="72">
        <v>4282</v>
      </c>
      <c r="E23" s="142"/>
      <c r="F23" s="146">
        <v>10</v>
      </c>
      <c r="G23" s="142"/>
      <c r="H23" s="142"/>
      <c r="I23" s="142" t="s">
        <v>270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4428.8</v>
      </c>
      <c r="D24" s="72">
        <v>4428.8</v>
      </c>
      <c r="E24" s="142"/>
      <c r="F24" s="146">
        <v>10</v>
      </c>
      <c r="G24" s="146"/>
      <c r="H24" s="146"/>
      <c r="I24" s="142" t="s">
        <v>270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4685.7</v>
      </c>
      <c r="D25" s="72">
        <v>4685.7</v>
      </c>
      <c r="E25" s="142"/>
      <c r="F25" s="146">
        <v>10</v>
      </c>
      <c r="G25" s="142"/>
      <c r="H25" s="142"/>
      <c r="I25" s="142" t="s">
        <v>270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4174</v>
      </c>
      <c r="E26" s="142"/>
      <c r="F26" s="146">
        <v>10</v>
      </c>
      <c r="G26" s="142"/>
      <c r="H26" s="142"/>
      <c r="I26" s="142" t="s">
        <v>270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4568.2</v>
      </c>
      <c r="D27" s="72">
        <v>4568.2</v>
      </c>
      <c r="E27" s="142"/>
      <c r="F27" s="146">
        <v>10</v>
      </c>
      <c r="G27" s="142"/>
      <c r="H27" s="142"/>
      <c r="I27" s="142" t="s">
        <v>270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211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 t="s">
        <v>249</v>
      </c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 t="s">
        <v>269</v>
      </c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 t="s">
        <v>268</v>
      </c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F0781-C92B-4907-8003-B571D38FA289}">
  <sheetPr codeName="Sheet77">
    <pageSetUpPr fitToPage="1"/>
  </sheetPr>
  <dimension ref="A1:M43"/>
  <sheetViews>
    <sheetView topLeftCell="A8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46027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274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275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275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10</v>
      </c>
      <c r="D14" s="142"/>
      <c r="E14" s="142"/>
      <c r="F14" s="240" t="s">
        <v>275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/>
      <c r="D15" s="142"/>
      <c r="E15" s="142"/>
      <c r="F15" s="240" t="s">
        <v>276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277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11857.3</v>
      </c>
      <c r="E21" s="142"/>
      <c r="F21" s="146"/>
      <c r="G21" s="146">
        <v>11</v>
      </c>
      <c r="H21" s="146"/>
      <c r="I21" s="142" t="s">
        <v>255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3755</v>
      </c>
      <c r="D22" s="175">
        <v>3755</v>
      </c>
      <c r="E22" s="142"/>
      <c r="F22" s="146">
        <v>10</v>
      </c>
      <c r="G22" s="142"/>
      <c r="H22" s="142"/>
      <c r="I22" s="142" t="s">
        <v>278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4282</v>
      </c>
      <c r="D23" s="72">
        <v>4282</v>
      </c>
      <c r="E23" s="142"/>
      <c r="F23" s="146">
        <v>0</v>
      </c>
      <c r="G23" s="142" t="s">
        <v>279</v>
      </c>
      <c r="H23" s="142"/>
      <c r="I23" s="142" t="s">
        <v>280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4428.8</v>
      </c>
      <c r="D24" s="72">
        <v>4428.8</v>
      </c>
      <c r="E24" s="142"/>
      <c r="F24" s="146">
        <v>10</v>
      </c>
      <c r="G24" s="146"/>
      <c r="H24" s="146"/>
      <c r="I24" s="142" t="s">
        <v>281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4685.7</v>
      </c>
      <c r="D25" s="72">
        <v>4685.7</v>
      </c>
      <c r="E25" s="142"/>
      <c r="F25" s="146"/>
      <c r="G25" s="142" t="s">
        <v>279</v>
      </c>
      <c r="H25" s="142"/>
      <c r="I25" s="142" t="s">
        <v>279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4174</v>
      </c>
      <c r="E26" s="142"/>
      <c r="F26" s="146">
        <v>10</v>
      </c>
      <c r="G26" s="142"/>
      <c r="H26" s="142"/>
      <c r="I26" s="142" t="s">
        <v>281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4568.2</v>
      </c>
      <c r="D27" s="72">
        <v>4570</v>
      </c>
      <c r="E27" s="142"/>
      <c r="F27" s="146">
        <v>10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283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284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 t="s">
        <v>285</v>
      </c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0B47-E79E-4155-85AA-74A6567FA5A2}">
  <sheetPr codeName="Sheet78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46029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286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287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289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/>
      <c r="D15" s="142"/>
      <c r="E15" s="142"/>
      <c r="F15" s="240" t="s">
        <v>276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290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11857.7</v>
      </c>
      <c r="E21" s="142">
        <v>0</v>
      </c>
      <c r="F21" s="146"/>
      <c r="G21" s="146">
        <v>11</v>
      </c>
      <c r="H21" s="146"/>
      <c r="I21" s="142" t="s">
        <v>291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3755</v>
      </c>
      <c r="D22" s="175">
        <v>3762</v>
      </c>
      <c r="E22" s="142">
        <v>7</v>
      </c>
      <c r="F22" s="146">
        <v>4</v>
      </c>
      <c r="G22" s="142"/>
      <c r="H22" s="142"/>
      <c r="I22" s="142" t="s">
        <v>292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4282</v>
      </c>
      <c r="D23" s="72">
        <v>4282</v>
      </c>
      <c r="E23" s="142"/>
      <c r="F23" s="146"/>
      <c r="G23" s="142" t="s">
        <v>280</v>
      </c>
      <c r="H23" s="142"/>
      <c r="I23" s="142" t="s">
        <v>280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4428.8</v>
      </c>
      <c r="D24" s="72">
        <v>4428.8</v>
      </c>
      <c r="E24" s="142"/>
      <c r="F24" s="146">
        <v>11</v>
      </c>
      <c r="G24" s="146"/>
      <c r="H24" s="146"/>
      <c r="I24" s="142" t="s">
        <v>281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4685.7</v>
      </c>
      <c r="D25" s="72">
        <v>4685.7</v>
      </c>
      <c r="E25" s="142"/>
      <c r="F25" s="146"/>
      <c r="G25" s="142" t="s">
        <v>279</v>
      </c>
      <c r="H25" s="142"/>
      <c r="I25" s="142" t="s">
        <v>279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4174</v>
      </c>
      <c r="E26" s="142"/>
      <c r="F26" s="146">
        <v>11</v>
      </c>
      <c r="G26" s="142"/>
      <c r="H26" s="142"/>
      <c r="I26" s="142" t="s">
        <v>281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4570</v>
      </c>
      <c r="D27" s="72">
        <v>4576.1000000000004</v>
      </c>
      <c r="E27" s="142">
        <v>6.1</v>
      </c>
      <c r="F27" s="146">
        <v>4.9000000000000004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293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284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A341-6AC4-472A-88B6-FEF7EE829278}">
  <sheetPr codeName="Sheet79">
    <pageSetUpPr fitToPage="1"/>
  </sheetPr>
  <dimension ref="A1:M43"/>
  <sheetViews>
    <sheetView topLeftCell="A4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46029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286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287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289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/>
      <c r="D15" s="142"/>
      <c r="E15" s="142"/>
      <c r="F15" s="240" t="s">
        <v>276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295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11857.7</v>
      </c>
      <c r="E21" s="142">
        <v>0</v>
      </c>
      <c r="F21" s="146"/>
      <c r="G21" s="146">
        <v>11</v>
      </c>
      <c r="H21" s="146"/>
      <c r="I21" s="142" t="s">
        <v>296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3762</v>
      </c>
      <c r="D22" s="175">
        <v>3766</v>
      </c>
      <c r="E22" s="142">
        <v>6</v>
      </c>
      <c r="F22" s="146">
        <v>5</v>
      </c>
      <c r="G22" s="142"/>
      <c r="H22" s="142"/>
      <c r="I22" s="142" t="s">
        <v>292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4282</v>
      </c>
      <c r="D23" s="72">
        <v>4282</v>
      </c>
      <c r="E23" s="142"/>
      <c r="F23" s="146"/>
      <c r="G23" s="142" t="s">
        <v>280</v>
      </c>
      <c r="H23" s="142"/>
      <c r="I23" s="142" t="s">
        <v>280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4428.8</v>
      </c>
      <c r="D24" s="72">
        <v>4428.8</v>
      </c>
      <c r="E24" s="142"/>
      <c r="F24" s="146">
        <v>11</v>
      </c>
      <c r="G24" s="146"/>
      <c r="H24" s="146"/>
      <c r="I24" s="142" t="s">
        <v>297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4685.7</v>
      </c>
      <c r="D25" s="72">
        <v>4685.7</v>
      </c>
      <c r="E25" s="142"/>
      <c r="F25" s="146"/>
      <c r="G25" s="142" t="s">
        <v>279</v>
      </c>
      <c r="H25" s="142"/>
      <c r="I25" s="142" t="s">
        <v>279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4174</v>
      </c>
      <c r="E26" s="142"/>
      <c r="F26" s="146">
        <v>11</v>
      </c>
      <c r="G26" s="142"/>
      <c r="H26" s="142"/>
      <c r="I26" s="142" t="s">
        <v>297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4576.2</v>
      </c>
      <c r="D27" s="72">
        <v>4581.6000000000004</v>
      </c>
      <c r="E27" s="142">
        <v>5.4</v>
      </c>
      <c r="F27" s="146">
        <v>5.6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298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284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394D-0281-4116-849B-8775D1EBCC32}">
  <sheetPr codeName="Sheet80">
    <pageSetUpPr fitToPage="1"/>
  </sheetPr>
  <dimension ref="A1:M43"/>
  <sheetViews>
    <sheetView topLeftCell="A4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46030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300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301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302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303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304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11857.7</v>
      </c>
      <c r="E21" s="142">
        <v>0</v>
      </c>
      <c r="F21" s="146"/>
      <c r="G21" s="146">
        <v>11</v>
      </c>
      <c r="H21" s="146"/>
      <c r="I21" t="s">
        <v>305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3768</v>
      </c>
      <c r="D22" s="175">
        <v>3773</v>
      </c>
      <c r="E22" s="142">
        <v>5</v>
      </c>
      <c r="F22" s="146">
        <v>6</v>
      </c>
      <c r="G22" s="142"/>
      <c r="H22" s="142"/>
      <c r="I22" s="142" t="s">
        <v>306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4282</v>
      </c>
      <c r="D23" s="72">
        <v>4282</v>
      </c>
      <c r="E23" s="142"/>
      <c r="F23" s="146"/>
      <c r="G23" s="142" t="s">
        <v>280</v>
      </c>
      <c r="H23" s="142"/>
      <c r="I23" s="142" t="s">
        <v>280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4430.8999999999996</v>
      </c>
      <c r="D24" s="72">
        <v>4434.6000000000004</v>
      </c>
      <c r="E24" s="142">
        <v>3.5</v>
      </c>
      <c r="F24" s="146">
        <v>6.5</v>
      </c>
      <c r="G24" s="146"/>
      <c r="H24" s="146"/>
      <c r="I24" s="142" t="s">
        <v>306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4686.3</v>
      </c>
      <c r="D25" s="72">
        <v>4688.6000000000004</v>
      </c>
      <c r="E25" s="142">
        <v>2.2999999999999998</v>
      </c>
      <c r="F25" s="146">
        <v>8.6999999999999993</v>
      </c>
      <c r="G25" s="142"/>
      <c r="H25" s="142"/>
      <c r="I25" s="142" t="s">
        <v>306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4179</v>
      </c>
      <c r="E26" s="142">
        <v>5</v>
      </c>
      <c r="F26" s="146">
        <v>6</v>
      </c>
      <c r="G26" s="142"/>
      <c r="H26" s="142"/>
      <c r="I26" s="142" t="s">
        <v>307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4581</v>
      </c>
      <c r="D27" s="72">
        <v>4582</v>
      </c>
      <c r="E27" s="142">
        <v>1</v>
      </c>
      <c r="F27" s="146">
        <v>10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308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309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6AF4-98F1-44A1-9373-B88FCA04C18F}">
  <sheetPr codeName="Sheet81">
    <pageSetUpPr fitToPage="1"/>
  </sheetPr>
  <dimension ref="A1:M43"/>
  <sheetViews>
    <sheetView topLeftCell="A4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46031</v>
      </c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312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301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10</v>
      </c>
      <c r="D14" s="142"/>
      <c r="E14" s="142"/>
      <c r="F14" s="240" t="s">
        <v>302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159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304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11857.7</v>
      </c>
      <c r="E21" s="142">
        <v>0</v>
      </c>
      <c r="F21" s="146"/>
      <c r="G21" s="146">
        <v>11</v>
      </c>
      <c r="H21" s="146"/>
      <c r="I21" t="s">
        <v>305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3768</v>
      </c>
      <c r="D22" s="175">
        <v>3773</v>
      </c>
      <c r="E22" s="142">
        <v>0</v>
      </c>
      <c r="F22" s="146"/>
      <c r="G22" s="142" t="s">
        <v>280</v>
      </c>
      <c r="H22" s="142"/>
      <c r="I22" s="142" t="s">
        <v>280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4285</v>
      </c>
      <c r="D23" s="72">
        <v>4288</v>
      </c>
      <c r="E23" s="142">
        <v>3</v>
      </c>
      <c r="F23" s="146">
        <v>7</v>
      </c>
      <c r="G23" s="142"/>
      <c r="H23" s="142"/>
      <c r="I23" s="142" t="s">
        <v>313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4434.8999999999996</v>
      </c>
      <c r="D24" s="72">
        <v>4439.8999999999996</v>
      </c>
      <c r="E24" s="142">
        <v>5</v>
      </c>
      <c r="F24" s="146">
        <v>5</v>
      </c>
      <c r="G24" s="146"/>
      <c r="H24" s="146"/>
      <c r="I24" s="142" t="s">
        <v>314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4688.6000000000004</v>
      </c>
      <c r="D25" s="72">
        <v>4692.3</v>
      </c>
      <c r="E25" s="142">
        <v>4.3</v>
      </c>
      <c r="F25" s="146">
        <v>5.7</v>
      </c>
      <c r="G25" s="142"/>
      <c r="H25" s="142"/>
      <c r="I25" s="142" t="s">
        <v>314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4179</v>
      </c>
      <c r="E26" s="142">
        <v>0</v>
      </c>
      <c r="F26" s="146">
        <v>10</v>
      </c>
      <c r="G26" s="142"/>
      <c r="H26" s="142"/>
      <c r="I26" s="142" t="s">
        <v>315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4582</v>
      </c>
      <c r="D27" s="72">
        <v>4583.8</v>
      </c>
      <c r="E27" s="142">
        <v>1.8</v>
      </c>
      <c r="F27" s="146">
        <v>8.1999999999999993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308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309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28D6C-DCB5-46DB-ABD5-7D18C187F77C}">
  <sheetPr codeName="Sheet82">
    <pageSetUpPr fitToPage="1"/>
  </sheetPr>
  <dimension ref="A1:M43"/>
  <sheetViews>
    <sheetView topLeftCell="C1"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/>
      <c r="L2" s="123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316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301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10</v>
      </c>
      <c r="D14" s="142"/>
      <c r="E14" s="142"/>
      <c r="F14" s="240" t="s">
        <v>302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159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10</v>
      </c>
      <c r="D16" s="142"/>
      <c r="E16" s="142"/>
      <c r="F16" s="243" t="s">
        <v>317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89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11857.3</v>
      </c>
      <c r="D21" s="72">
        <v>11857.7</v>
      </c>
      <c r="E21" s="142">
        <v>0</v>
      </c>
      <c r="F21" s="146">
        <v>11</v>
      </c>
      <c r="G21" s="146"/>
      <c r="H21" s="146"/>
      <c r="I21" t="s">
        <v>318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3768</v>
      </c>
      <c r="D22" s="175">
        <v>3773</v>
      </c>
      <c r="E22" s="142">
        <v>0</v>
      </c>
      <c r="F22" s="146"/>
      <c r="G22" s="142" t="s">
        <v>280</v>
      </c>
      <c r="H22" s="142"/>
      <c r="I22" s="142" t="s">
        <v>280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4288</v>
      </c>
      <c r="D23" s="72">
        <v>4293</v>
      </c>
      <c r="E23" s="142">
        <v>5</v>
      </c>
      <c r="F23" s="146">
        <v>5</v>
      </c>
      <c r="G23" s="142"/>
      <c r="H23" s="142"/>
      <c r="I23" s="142" t="s">
        <v>313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4439.8999999999996</v>
      </c>
      <c r="D24" s="72">
        <v>4444.8999999999996</v>
      </c>
      <c r="E24" s="142">
        <v>5</v>
      </c>
      <c r="F24" s="146">
        <v>5</v>
      </c>
      <c r="G24" s="146"/>
      <c r="H24" s="146"/>
      <c r="I24" s="142" t="s">
        <v>314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4692.3</v>
      </c>
      <c r="D25" s="72">
        <v>4696.6000000000004</v>
      </c>
      <c r="E25" s="142">
        <v>3.7</v>
      </c>
      <c r="F25" s="146">
        <v>6.3</v>
      </c>
      <c r="G25" s="142"/>
      <c r="H25" s="142"/>
      <c r="I25" s="142" t="s">
        <v>314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4174</v>
      </c>
      <c r="D26" s="72">
        <v>4179</v>
      </c>
      <c r="E26" s="142">
        <v>0</v>
      </c>
      <c r="F26" s="146">
        <v>10</v>
      </c>
      <c r="G26" s="142"/>
      <c r="H26" s="142"/>
      <c r="I26" s="142" t="s">
        <v>315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4583.8</v>
      </c>
      <c r="D27" s="72">
        <v>4586.3</v>
      </c>
      <c r="E27" s="142">
        <v>3</v>
      </c>
      <c r="F27" s="146">
        <v>7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308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309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 t="s">
        <v>319</v>
      </c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F6393-27C2-449E-AF9C-96A6079362A4}">
  <sheetPr codeName="Sheet83">
    <pageSetUpPr fitToPage="1"/>
  </sheetPr>
  <dimension ref="A1:M43"/>
  <sheetViews>
    <sheetView workbookViewId="0">
      <selection activeCell="E31" sqref="E3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46033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316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301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288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302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159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317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/>
      <c r="D17" s="142"/>
      <c r="E17" s="147"/>
      <c r="F17" s="243" t="s">
        <v>276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11858.7</v>
      </c>
      <c r="D21" s="72">
        <v>11864</v>
      </c>
      <c r="E21" s="142">
        <v>5.3</v>
      </c>
      <c r="F21" s="146">
        <v>5.7</v>
      </c>
      <c r="G21" s="146"/>
      <c r="H21" s="146"/>
      <c r="I21" t="s">
        <v>321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3768</v>
      </c>
      <c r="D22" s="175">
        <v>3773</v>
      </c>
      <c r="E22" s="142">
        <v>0</v>
      </c>
      <c r="F22" s="146"/>
      <c r="G22" s="142" t="s">
        <v>280</v>
      </c>
      <c r="H22" s="142"/>
      <c r="I22" s="142" t="s">
        <v>280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4293</v>
      </c>
      <c r="D23" s="72">
        <v>4300</v>
      </c>
      <c r="E23" s="142">
        <v>7</v>
      </c>
      <c r="F23" s="146">
        <v>4</v>
      </c>
      <c r="G23" s="142"/>
      <c r="H23" s="142"/>
      <c r="I23" s="142" t="s">
        <v>313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4444.8999999999996</v>
      </c>
      <c r="D24" s="72">
        <v>4445.8999999999996</v>
      </c>
      <c r="E24" s="142">
        <v>1</v>
      </c>
      <c r="F24" s="146">
        <v>9</v>
      </c>
      <c r="G24" s="146"/>
      <c r="H24" s="146"/>
      <c r="I24" s="142" t="s">
        <v>314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4696.6000000000004</v>
      </c>
      <c r="D25" s="72">
        <v>4699.1000000000004</v>
      </c>
      <c r="E25" s="142">
        <v>2.5</v>
      </c>
      <c r="F25" s="146">
        <v>8.5</v>
      </c>
      <c r="G25" s="142"/>
      <c r="H25" s="142"/>
      <c r="I25" s="142" t="s">
        <v>314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4179</v>
      </c>
      <c r="D26" s="72">
        <v>4180</v>
      </c>
      <c r="E26" s="142">
        <v>1</v>
      </c>
      <c r="F26" s="146">
        <v>9</v>
      </c>
      <c r="G26" s="142"/>
      <c r="H26" s="142"/>
      <c r="I26" s="142" t="s">
        <v>322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4586.3</v>
      </c>
      <c r="D27" s="72">
        <v>4591.1000000000004</v>
      </c>
      <c r="E27" s="142">
        <v>4.8</v>
      </c>
      <c r="F27" s="146">
        <v>6.2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323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 t="s">
        <v>309</v>
      </c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 t="s">
        <v>319</v>
      </c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80FE6-26DE-4ED2-AB10-A3E028466859}">
  <sheetPr codeName="Sheet84">
    <pageSetUpPr fitToPage="1"/>
  </sheetPr>
  <dimension ref="A1:M43"/>
  <sheetViews>
    <sheetView topLeftCell="A6" workbookViewId="0">
      <selection activeCell="G26" sqref="G26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46034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324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326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327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328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329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330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11.5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/>
      <c r="C19" s="139"/>
      <c r="D19" s="139"/>
      <c r="E19" s="153"/>
      <c r="F19" s="237"/>
      <c r="G19" s="238"/>
      <c r="H19" s="238"/>
      <c r="I19" s="239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11864</v>
      </c>
      <c r="D21" s="72">
        <v>11870.1</v>
      </c>
      <c r="E21" s="142">
        <v>4.0999999999999996</v>
      </c>
      <c r="F21" s="146">
        <v>6.9</v>
      </c>
      <c r="G21" s="146"/>
      <c r="H21" s="146"/>
      <c r="I21" t="s">
        <v>331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3773</v>
      </c>
      <c r="D22" s="175">
        <v>3777</v>
      </c>
      <c r="E22" s="142">
        <v>4</v>
      </c>
      <c r="F22" s="146">
        <v>7</v>
      </c>
      <c r="G22" s="142"/>
      <c r="H22" s="142"/>
      <c r="I22" s="142" t="s">
        <v>332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4300</v>
      </c>
      <c r="D23" s="72">
        <v>4303</v>
      </c>
      <c r="E23" s="142">
        <v>3</v>
      </c>
      <c r="F23" s="146">
        <v>8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4445.8999999999996</v>
      </c>
      <c r="D24" s="72">
        <v>4445.8999999999996</v>
      </c>
      <c r="E24" s="142">
        <v>0</v>
      </c>
      <c r="F24" s="146">
        <v>0</v>
      </c>
      <c r="G24" s="146">
        <v>11</v>
      </c>
      <c r="H24" s="146"/>
      <c r="I24" s="142" t="s">
        <v>334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4699.1000000000004</v>
      </c>
      <c r="D25" s="72">
        <v>4699.1000000000004</v>
      </c>
      <c r="E25" s="142">
        <v>0</v>
      </c>
      <c r="F25" s="146">
        <v>0</v>
      </c>
      <c r="G25" s="142">
        <v>11</v>
      </c>
      <c r="H25" s="142"/>
      <c r="I25" s="142" t="s">
        <v>335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4180</v>
      </c>
      <c r="D26" s="72">
        <v>4180</v>
      </c>
      <c r="E26" s="142">
        <v>0</v>
      </c>
      <c r="F26" s="146">
        <v>0</v>
      </c>
      <c r="G26" s="142">
        <v>11</v>
      </c>
      <c r="H26" s="142"/>
      <c r="I26" s="142" t="s">
        <v>336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4591.1000000000004</v>
      </c>
      <c r="D27" s="72">
        <v>4597.8999999999996</v>
      </c>
      <c r="E27" s="142">
        <v>6.8</v>
      </c>
      <c r="F27" s="146">
        <v>4.2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337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9D5F4-AB83-40E7-9FA2-8C82C9587BB0}">
  <sheetPr codeName="Sheet85">
    <pageSetUpPr fitToPage="1"/>
  </sheetPr>
  <dimension ref="A1:M43"/>
  <sheetViews>
    <sheetView workbookViewId="0">
      <selection activeCell="G25" sqref="G25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46035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339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326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327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328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329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330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6.5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11870.1</v>
      </c>
      <c r="D21" s="72">
        <v>11876</v>
      </c>
      <c r="E21" s="142">
        <f>D21-C21</f>
        <v>5.8999999999996362</v>
      </c>
      <c r="F21" s="146">
        <f t="shared" ref="F21:F27" si="0">11-E21</f>
        <v>5.1000000000003638</v>
      </c>
      <c r="G21" s="146"/>
      <c r="H21" s="146"/>
      <c r="I21" t="s">
        <v>341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3777</v>
      </c>
      <c r="D22" s="175">
        <v>3785</v>
      </c>
      <c r="E22" s="142">
        <f t="shared" ref="E22:E27" si="1">D22-C22</f>
        <v>8</v>
      </c>
      <c r="F22" s="146">
        <f t="shared" si="0"/>
        <v>3</v>
      </c>
      <c r="G22" s="142"/>
      <c r="H22" s="142"/>
      <c r="I22" s="142" t="s">
        <v>342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4303</v>
      </c>
      <c r="D23" s="72">
        <v>4309</v>
      </c>
      <c r="E23" s="142">
        <f t="shared" si="1"/>
        <v>6</v>
      </c>
      <c r="F23" s="146">
        <f t="shared" si="0"/>
        <v>5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4445.8999999999996</v>
      </c>
      <c r="D24" s="72">
        <v>4449.8999999999996</v>
      </c>
      <c r="E24" s="142">
        <f t="shared" si="1"/>
        <v>4</v>
      </c>
      <c r="F24" s="146">
        <v>5</v>
      </c>
      <c r="G24" s="146">
        <v>2</v>
      </c>
      <c r="H24" s="146"/>
      <c r="I24" s="142" t="s">
        <v>334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4699.1000000000004</v>
      </c>
      <c r="D25" s="72">
        <v>4702.5</v>
      </c>
      <c r="E25" s="142">
        <f t="shared" si="1"/>
        <v>3.3999999999996362</v>
      </c>
      <c r="F25" s="146">
        <f t="shared" si="0"/>
        <v>7.6000000000003638</v>
      </c>
      <c r="G25" s="142"/>
      <c r="H25" s="142"/>
      <c r="I25" s="142" t="s">
        <v>343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182">
        <v>4180</v>
      </c>
      <c r="D26" s="182">
        <v>4180</v>
      </c>
      <c r="E26" s="142">
        <f t="shared" si="1"/>
        <v>0</v>
      </c>
      <c r="F26" s="146">
        <f t="shared" si="0"/>
        <v>11</v>
      </c>
      <c r="G26" s="142"/>
      <c r="H26" s="142"/>
      <c r="I26" s="142" t="s">
        <v>336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4597.8999999999996</v>
      </c>
      <c r="D27" s="72">
        <v>4598.8999999999996</v>
      </c>
      <c r="E27" s="142">
        <f t="shared" si="1"/>
        <v>1</v>
      </c>
      <c r="F27" s="146">
        <f t="shared" si="0"/>
        <v>10</v>
      </c>
      <c r="G27" s="142"/>
      <c r="H27" s="142"/>
      <c r="I27" s="142" t="s">
        <v>282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/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344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C4EDA-1F2E-4A48-B94E-36B7CC1B0015}">
  <sheetPr codeName="Sheet86">
    <pageSetUpPr fitToPage="1"/>
  </sheetPr>
  <dimension ref="A1:M43"/>
  <sheetViews>
    <sheetView topLeftCell="A5" workbookViewId="0">
      <selection activeCell="B9" sqref="B9:L10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46036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345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326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328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329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346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11.5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11876</v>
      </c>
      <c r="D21" s="72">
        <v>11877.7</v>
      </c>
      <c r="E21" s="142">
        <f>D21-C21</f>
        <v>1.7000000000007276</v>
      </c>
      <c r="G21" s="146">
        <f>11-E21</f>
        <v>9.2999999999992724</v>
      </c>
      <c r="H21" s="146"/>
      <c r="I21" s="183" t="s">
        <v>347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3785</v>
      </c>
      <c r="D22" s="175">
        <v>3791</v>
      </c>
      <c r="E22" s="142">
        <f t="shared" ref="E22:E27" si="0">D22-C22</f>
        <v>6</v>
      </c>
      <c r="F22" s="146">
        <f t="shared" ref="F22:F27" si="1">11-E22</f>
        <v>5</v>
      </c>
      <c r="G22" s="142"/>
      <c r="H22" s="142"/>
      <c r="I22" s="142" t="s">
        <v>342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4309</v>
      </c>
      <c r="D23" s="72">
        <v>4317</v>
      </c>
      <c r="E23" s="142">
        <f t="shared" si="0"/>
        <v>8</v>
      </c>
      <c r="F23" s="146">
        <f t="shared" si="1"/>
        <v>3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4445.8999999999996</v>
      </c>
      <c r="D24" s="72">
        <v>4449.8999999999996</v>
      </c>
      <c r="E24" s="142">
        <f t="shared" si="0"/>
        <v>4</v>
      </c>
      <c r="F24" s="146">
        <v>5</v>
      </c>
      <c r="G24" s="146">
        <v>2</v>
      </c>
      <c r="H24" s="146"/>
      <c r="I24" s="142" t="s">
        <v>334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4702.5</v>
      </c>
      <c r="D25" s="72">
        <v>4708.3</v>
      </c>
      <c r="E25" s="142">
        <f t="shared" si="0"/>
        <v>5.8000000000001819</v>
      </c>
      <c r="F25" s="146">
        <f t="shared" si="1"/>
        <v>5.1999999999998181</v>
      </c>
      <c r="G25" s="142"/>
      <c r="H25" s="142"/>
      <c r="I25" s="142" t="s">
        <v>343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182">
        <v>4180</v>
      </c>
      <c r="D26" s="182">
        <v>4183</v>
      </c>
      <c r="E26" s="142">
        <f t="shared" si="0"/>
        <v>3</v>
      </c>
      <c r="F26" s="146">
        <f t="shared" si="1"/>
        <v>8</v>
      </c>
      <c r="G26" s="142"/>
      <c r="H26" s="142"/>
      <c r="I26" s="142" t="s">
        <v>333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4598.8999999999996</v>
      </c>
      <c r="D27" s="72">
        <v>4599.1000000000004</v>
      </c>
      <c r="E27" s="142">
        <f t="shared" si="0"/>
        <v>0.2000000000007276</v>
      </c>
      <c r="F27" s="146">
        <f t="shared" si="1"/>
        <v>10.799999999999272</v>
      </c>
      <c r="G27" s="142"/>
      <c r="H27" s="142"/>
      <c r="I27" s="142" t="s">
        <v>348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0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344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6390-F285-4968-BFDB-6BD0ECF39387}">
  <sheetPr codeName="Sheet87">
    <pageSetUpPr fitToPage="1"/>
  </sheetPr>
  <dimension ref="A1:M43"/>
  <sheetViews>
    <sheetView workbookViewId="0">
      <selection activeCell="F15" sqref="F15:I15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46037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349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326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350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351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329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346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11.5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11877.7</v>
      </c>
      <c r="D21" s="72">
        <v>11884.7</v>
      </c>
      <c r="E21" s="142">
        <f>D21-C21</f>
        <v>7</v>
      </c>
      <c r="F21" s="146">
        <f>11-E21</f>
        <v>4</v>
      </c>
      <c r="H21" s="146"/>
      <c r="I21" s="183" t="s">
        <v>352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3791</v>
      </c>
      <c r="D22" s="175">
        <v>3799</v>
      </c>
      <c r="E22" s="142">
        <f t="shared" ref="E22:E27" si="0">D22-C22</f>
        <v>8</v>
      </c>
      <c r="F22" s="146">
        <f t="shared" ref="F22:F27" si="1">11-E22</f>
        <v>3</v>
      </c>
      <c r="G22" s="142"/>
      <c r="H22" s="142"/>
      <c r="I22" s="142" t="s">
        <v>342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4315</v>
      </c>
      <c r="D23" s="72">
        <v>4320</v>
      </c>
      <c r="E23" s="142">
        <f t="shared" si="0"/>
        <v>5</v>
      </c>
      <c r="F23" s="146">
        <f t="shared" si="1"/>
        <v>6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4453</v>
      </c>
      <c r="D24" s="72">
        <v>4458.8</v>
      </c>
      <c r="E24" s="142">
        <f t="shared" si="0"/>
        <v>5.8000000000001819</v>
      </c>
      <c r="F24" s="146">
        <v>5</v>
      </c>
      <c r="G24" s="146"/>
      <c r="H24" s="146"/>
      <c r="I24" s="142" t="s">
        <v>353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4702.5</v>
      </c>
      <c r="D25" s="72">
        <v>4708.3</v>
      </c>
      <c r="E25" s="142">
        <f t="shared" si="0"/>
        <v>5.8000000000001819</v>
      </c>
      <c r="F25" s="146">
        <f t="shared" si="1"/>
        <v>5.1999999999998181</v>
      </c>
      <c r="G25" s="142"/>
      <c r="H25" s="142"/>
      <c r="I25" s="142" t="s">
        <v>343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4183</v>
      </c>
      <c r="D26" s="72">
        <v>4191</v>
      </c>
      <c r="E26" s="142">
        <f t="shared" si="0"/>
        <v>8</v>
      </c>
      <c r="F26" s="146">
        <f t="shared" si="1"/>
        <v>3</v>
      </c>
      <c r="G26" s="142"/>
      <c r="H26" s="142"/>
      <c r="I26" s="142" t="s">
        <v>333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4599.1000000000004</v>
      </c>
      <c r="D27" s="72">
        <v>4599.5</v>
      </c>
      <c r="E27" s="142">
        <f t="shared" si="0"/>
        <v>0.3999999999996362</v>
      </c>
      <c r="F27" s="146">
        <f t="shared" si="1"/>
        <v>10.600000000000364</v>
      </c>
      <c r="G27" s="142"/>
      <c r="H27" s="142"/>
      <c r="I27" s="142" t="s">
        <v>348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0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62276-95DC-44BF-975B-BAF4BD72857D}">
  <sheetPr codeName="Sheet88">
    <pageSetUpPr fitToPage="1"/>
  </sheetPr>
  <dimension ref="A1:M43"/>
  <sheetViews>
    <sheetView workbookViewId="0">
      <selection activeCell="P8" sqref="P8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46038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354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325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355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351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329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346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11.5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11884.7</v>
      </c>
      <c r="D21" s="72">
        <v>11886.3</v>
      </c>
      <c r="E21" s="142">
        <f>D21-C21</f>
        <v>1.5999999999985448</v>
      </c>
      <c r="F21" s="146">
        <f>11-E21</f>
        <v>9.4000000000014552</v>
      </c>
      <c r="H21" s="146"/>
      <c r="I21" s="183" t="s">
        <v>352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3799</v>
      </c>
      <c r="D22" s="175">
        <v>3807</v>
      </c>
      <c r="E22" s="142">
        <f t="shared" ref="E22:E27" si="0">D22-C22</f>
        <v>8</v>
      </c>
      <c r="F22" s="146">
        <f t="shared" ref="F22:F27" si="1">11-E22</f>
        <v>3</v>
      </c>
      <c r="G22" s="142"/>
      <c r="H22" s="142"/>
      <c r="I22" s="142" t="s">
        <v>342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4320</v>
      </c>
      <c r="D23" s="72">
        <v>4325</v>
      </c>
      <c r="E23" s="142">
        <f t="shared" si="0"/>
        <v>5</v>
      </c>
      <c r="F23" s="146">
        <f t="shared" si="1"/>
        <v>6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4458.8</v>
      </c>
      <c r="D24" s="72">
        <v>4466</v>
      </c>
      <c r="E24" s="142">
        <f t="shared" si="0"/>
        <v>7.1999999999998181</v>
      </c>
      <c r="F24" s="146">
        <f t="shared" si="1"/>
        <v>3.8000000000001819</v>
      </c>
      <c r="G24" s="146"/>
      <c r="H24" s="146"/>
      <c r="I24" s="142" t="s">
        <v>353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4708.3</v>
      </c>
      <c r="D25" s="72">
        <v>4716.3</v>
      </c>
      <c r="E25" s="142">
        <f t="shared" si="0"/>
        <v>8</v>
      </c>
      <c r="F25" s="146">
        <f t="shared" si="1"/>
        <v>3</v>
      </c>
      <c r="G25" s="142"/>
      <c r="H25" s="142"/>
      <c r="I25" s="142" t="s">
        <v>343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4191</v>
      </c>
      <c r="D26" s="72">
        <v>4191</v>
      </c>
      <c r="E26" s="142">
        <f t="shared" si="0"/>
        <v>0</v>
      </c>
      <c r="F26" s="146">
        <f t="shared" si="1"/>
        <v>11</v>
      </c>
      <c r="G26" s="142"/>
      <c r="H26" s="142"/>
      <c r="I26" s="142" t="s">
        <v>356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4599.5</v>
      </c>
      <c r="D27" s="72">
        <v>4600</v>
      </c>
      <c r="E27" s="142">
        <f t="shared" si="0"/>
        <v>0.5</v>
      </c>
      <c r="F27" s="146">
        <f t="shared" si="1"/>
        <v>10.5</v>
      </c>
      <c r="G27" s="142"/>
      <c r="H27" s="142"/>
      <c r="I27" s="142" t="s">
        <v>348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1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/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ED6C8-33A6-4110-A849-FC563F4B6563}">
  <sheetPr codeName="Sheet89">
    <pageSetUpPr fitToPage="1"/>
  </sheetPr>
  <dimension ref="A1:M43"/>
  <sheetViews>
    <sheetView workbookViewId="0">
      <selection activeCell="F22" sqref="F22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46039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357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11.5</v>
      </c>
      <c r="D12" s="146"/>
      <c r="E12" s="146"/>
      <c r="F12" s="240" t="s">
        <v>358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11.5</v>
      </c>
      <c r="D13" s="142"/>
      <c r="E13" s="142"/>
      <c r="F13" s="240" t="s">
        <v>359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11.5</v>
      </c>
      <c r="D14" s="142"/>
      <c r="E14" s="142"/>
      <c r="F14" s="240" t="s">
        <v>159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11.5</v>
      </c>
      <c r="D15" s="142"/>
      <c r="E15" s="142"/>
      <c r="F15" s="240" t="s">
        <v>351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11.5</v>
      </c>
      <c r="D16" s="142"/>
      <c r="E16" s="142"/>
      <c r="F16" s="243" t="s">
        <v>360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11.5</v>
      </c>
      <c r="D17" s="142"/>
      <c r="E17" s="147"/>
      <c r="F17" s="243" t="s">
        <v>346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11.5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11886.3</v>
      </c>
      <c r="D21" s="72">
        <v>11886.3</v>
      </c>
      <c r="E21" s="142">
        <f>D21-C21</f>
        <v>0</v>
      </c>
      <c r="F21" s="146">
        <v>0</v>
      </c>
      <c r="H21" s="146"/>
      <c r="I21" s="142" t="s">
        <v>356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3807</v>
      </c>
      <c r="D22" s="175">
        <v>3810</v>
      </c>
      <c r="E22" s="142">
        <f t="shared" ref="E22:E27" si="0">D22-C22</f>
        <v>3</v>
      </c>
      <c r="F22" s="146">
        <f t="shared" ref="F22:F27" si="1">11-E22</f>
        <v>8</v>
      </c>
      <c r="G22" s="142"/>
      <c r="H22" s="142"/>
      <c r="I22" s="142" t="s">
        <v>342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4325</v>
      </c>
      <c r="D23" s="72">
        <v>4328</v>
      </c>
      <c r="E23" s="142">
        <f t="shared" si="0"/>
        <v>3</v>
      </c>
      <c r="F23" s="146">
        <f t="shared" si="1"/>
        <v>8</v>
      </c>
      <c r="G23" s="142"/>
      <c r="H23" s="142"/>
      <c r="I23" s="142" t="s">
        <v>333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4466</v>
      </c>
      <c r="D24" s="72">
        <v>4467.5</v>
      </c>
      <c r="E24" s="142">
        <f t="shared" si="0"/>
        <v>1.5</v>
      </c>
      <c r="F24" s="146">
        <f>11-E24</f>
        <v>9.5</v>
      </c>
      <c r="G24" s="146"/>
      <c r="H24" s="146"/>
      <c r="I24" s="142" t="s">
        <v>353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4716.3</v>
      </c>
      <c r="D25" s="72">
        <v>4719.1000000000004</v>
      </c>
      <c r="E25" s="142">
        <f t="shared" si="0"/>
        <v>2.8000000000001819</v>
      </c>
      <c r="F25" s="146">
        <f t="shared" si="1"/>
        <v>8.1999999999998181</v>
      </c>
      <c r="G25" s="142"/>
      <c r="H25" s="142"/>
      <c r="I25" s="142" t="s">
        <v>361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4191</v>
      </c>
      <c r="D26" s="72">
        <v>4193</v>
      </c>
      <c r="E26" s="142">
        <f t="shared" si="0"/>
        <v>2</v>
      </c>
      <c r="F26" s="146">
        <f t="shared" si="1"/>
        <v>9</v>
      </c>
      <c r="G26" s="142"/>
      <c r="H26" s="142"/>
      <c r="I26" s="142" t="s">
        <v>362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4600</v>
      </c>
      <c r="D27" s="72">
        <v>4600</v>
      </c>
      <c r="E27" s="142">
        <f t="shared" si="0"/>
        <v>0</v>
      </c>
      <c r="F27" s="146">
        <f t="shared" si="1"/>
        <v>11</v>
      </c>
      <c r="G27" s="142"/>
      <c r="H27" s="142"/>
      <c r="I27" s="142" t="s">
        <v>356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0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363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041C-1627-40C6-A53A-D765F23F21EA}">
  <sheetPr codeName="Sheet90">
    <pageSetUpPr fitToPage="1"/>
  </sheetPr>
  <dimension ref="A1:M43"/>
  <sheetViews>
    <sheetView workbookViewId="0">
      <selection activeCell="F21" sqref="F21"/>
    </sheetView>
  </sheetViews>
  <sheetFormatPr defaultRowHeight="15" customHeight="1" x14ac:dyDescent="0.35"/>
  <cols>
    <col min="1" max="1" width="3.453125" customWidth="1"/>
    <col min="2" max="2" width="39.54296875" bestFit="1" customWidth="1"/>
    <col min="3" max="3" width="15.54296875" bestFit="1" customWidth="1"/>
    <col min="4" max="4" width="14.1796875" bestFit="1" customWidth="1"/>
    <col min="5" max="5" width="15.54296875" bestFit="1" customWidth="1"/>
    <col min="6" max="6" width="13.81640625" bestFit="1" customWidth="1"/>
    <col min="7" max="7" width="16.54296875" bestFit="1" customWidth="1"/>
    <col min="8" max="8" width="16.54296875" customWidth="1"/>
    <col min="9" max="9" width="56.1796875" bestFit="1" customWidth="1"/>
    <col min="10" max="10" width="49" bestFit="1" customWidth="1"/>
    <col min="11" max="11" width="14.81640625" bestFit="1" customWidth="1"/>
    <col min="12" max="12" width="12.453125" customWidth="1"/>
    <col min="13" max="13" width="3.453125" customWidth="1"/>
    <col min="14" max="14" width="3.81640625" customWidth="1"/>
  </cols>
  <sheetData>
    <row r="1" spans="1:13" ht="14.5" x14ac:dyDescent="0.35">
      <c r="A1" s="165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3"/>
    </row>
    <row r="2" spans="1:13" ht="19" customHeight="1" x14ac:dyDescent="0.35">
      <c r="A2" s="126"/>
      <c r="B2" s="162"/>
      <c r="C2" s="123"/>
      <c r="D2" s="123"/>
      <c r="E2" s="123"/>
      <c r="F2" s="220" t="s">
        <v>104</v>
      </c>
      <c r="G2" s="220"/>
      <c r="H2" s="220"/>
      <c r="I2" s="220"/>
      <c r="J2" s="161">
        <v>46040</v>
      </c>
      <c r="L2" s="161"/>
      <c r="M2" s="128"/>
    </row>
    <row r="3" spans="1:13" ht="19" customHeight="1" x14ac:dyDescent="0.35">
      <c r="A3" s="126"/>
      <c r="C3" s="123"/>
      <c r="D3" s="123"/>
      <c r="E3" s="123"/>
      <c r="F3" s="220"/>
      <c r="G3" s="220"/>
      <c r="H3" s="220"/>
      <c r="I3" s="220"/>
      <c r="J3" s="123"/>
      <c r="K3" s="123"/>
      <c r="L3" s="123"/>
      <c r="M3" s="128"/>
    </row>
    <row r="4" spans="1:13" ht="25" customHeight="1" x14ac:dyDescent="0.35">
      <c r="A4" s="126"/>
      <c r="B4" s="221" t="s">
        <v>103</v>
      </c>
      <c r="C4" s="222"/>
      <c r="D4" s="222"/>
      <c r="E4" s="222"/>
      <c r="F4" s="160"/>
      <c r="G4" s="160"/>
      <c r="H4" s="160"/>
      <c r="I4" s="159"/>
      <c r="J4" s="123"/>
      <c r="K4" s="123"/>
      <c r="L4" s="123"/>
      <c r="M4" s="128"/>
    </row>
    <row r="5" spans="1:13" ht="14.5" x14ac:dyDescent="0.35">
      <c r="A5" s="126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8"/>
    </row>
    <row r="6" spans="1:13" ht="14.5" x14ac:dyDescent="0.35">
      <c r="A6" s="126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8"/>
    </row>
    <row r="7" spans="1:13" ht="14.5" x14ac:dyDescent="0.35">
      <c r="A7" s="126"/>
      <c r="B7" s="223" t="s">
        <v>364</v>
      </c>
      <c r="C7" s="224"/>
      <c r="D7" s="224"/>
      <c r="E7" s="224"/>
      <c r="F7" s="224"/>
      <c r="G7" s="224"/>
      <c r="H7" s="224"/>
      <c r="I7" s="224"/>
      <c r="J7" s="224"/>
      <c r="K7" s="224"/>
      <c r="L7" s="225"/>
      <c r="M7" s="128"/>
    </row>
    <row r="8" spans="1:13" ht="14.5" x14ac:dyDescent="0.35">
      <c r="A8" s="126"/>
      <c r="B8" s="226"/>
      <c r="C8" s="227"/>
      <c r="D8" s="227"/>
      <c r="E8" s="227"/>
      <c r="F8" s="227"/>
      <c r="G8" s="227"/>
      <c r="H8" s="227"/>
      <c r="I8" s="227"/>
      <c r="J8" s="227"/>
      <c r="K8" s="227"/>
      <c r="L8" s="228"/>
      <c r="M8" s="128"/>
    </row>
    <row r="9" spans="1:13" ht="14.5" x14ac:dyDescent="0.35">
      <c r="A9" s="126"/>
      <c r="B9" s="229" t="s">
        <v>101</v>
      </c>
      <c r="C9" s="224"/>
      <c r="D9" s="224"/>
      <c r="E9" s="224"/>
      <c r="F9" s="224"/>
      <c r="G9" s="224"/>
      <c r="H9" s="224"/>
      <c r="I9" s="224"/>
      <c r="J9" s="224"/>
      <c r="K9" s="224"/>
      <c r="L9" s="225"/>
      <c r="M9" s="128"/>
    </row>
    <row r="10" spans="1:13" ht="16.399999999999999" customHeight="1" thickBot="1" x14ac:dyDescent="0.4">
      <c r="A10" s="126"/>
      <c r="B10" s="226"/>
      <c r="C10" s="227"/>
      <c r="D10" s="227"/>
      <c r="E10" s="227"/>
      <c r="F10" s="227"/>
      <c r="G10" s="227"/>
      <c r="H10" s="227"/>
      <c r="I10" s="227"/>
      <c r="J10" s="227"/>
      <c r="K10" s="227"/>
      <c r="L10" s="228"/>
      <c r="M10" s="128"/>
    </row>
    <row r="11" spans="1:13" ht="22" customHeight="1" thickBot="1" x14ac:dyDescent="0.4">
      <c r="A11" s="126"/>
      <c r="B11" s="158" t="s">
        <v>100</v>
      </c>
      <c r="C11" s="151" t="s">
        <v>99</v>
      </c>
      <c r="D11" s="151" t="s">
        <v>87</v>
      </c>
      <c r="E11" s="150"/>
      <c r="F11" s="230" t="s">
        <v>98</v>
      </c>
      <c r="G11" s="231"/>
      <c r="H11" s="231"/>
      <c r="I11" s="232"/>
      <c r="J11" s="233" t="s">
        <v>97</v>
      </c>
      <c r="K11" s="234"/>
      <c r="L11" s="235"/>
      <c r="M11" s="128"/>
    </row>
    <row r="12" spans="1:13" ht="22" customHeight="1" thickBot="1" x14ac:dyDescent="0.4">
      <c r="A12" s="126"/>
      <c r="B12" s="148" t="s">
        <v>96</v>
      </c>
      <c r="C12" s="146">
        <v>10</v>
      </c>
      <c r="D12" s="146"/>
      <c r="E12" s="146"/>
      <c r="F12" s="240" t="s">
        <v>365</v>
      </c>
      <c r="G12" s="241"/>
      <c r="H12" s="241"/>
      <c r="I12" s="242"/>
      <c r="J12" s="124"/>
      <c r="K12" s="124"/>
      <c r="L12" s="136"/>
      <c r="M12" s="128"/>
    </row>
    <row r="13" spans="1:13" ht="22" customHeight="1" thickBot="1" x14ac:dyDescent="0.4">
      <c r="A13" s="126"/>
      <c r="B13" s="143" t="s">
        <v>95</v>
      </c>
      <c r="C13" s="146">
        <v>10</v>
      </c>
      <c r="D13" s="142"/>
      <c r="E13" s="142"/>
      <c r="F13" s="240" t="s">
        <v>366</v>
      </c>
      <c r="G13" s="241"/>
      <c r="H13" s="241"/>
      <c r="I13" s="242"/>
      <c r="J13" s="124"/>
      <c r="K13" s="124"/>
      <c r="L13" s="136"/>
      <c r="M13" s="128"/>
    </row>
    <row r="14" spans="1:13" ht="22" customHeight="1" thickBot="1" x14ac:dyDescent="0.4">
      <c r="A14" s="126"/>
      <c r="B14" s="143" t="s">
        <v>94</v>
      </c>
      <c r="C14" s="146">
        <v>10</v>
      </c>
      <c r="D14" s="142"/>
      <c r="E14" s="142"/>
      <c r="F14" s="240" t="s">
        <v>367</v>
      </c>
      <c r="G14" s="241"/>
      <c r="H14" s="241"/>
      <c r="I14" s="242"/>
      <c r="J14" s="124"/>
      <c r="K14" s="124"/>
      <c r="L14" s="136"/>
      <c r="M14" s="128"/>
    </row>
    <row r="15" spans="1:13" ht="22" customHeight="1" thickBot="1" x14ac:dyDescent="0.4">
      <c r="A15" s="126"/>
      <c r="B15" s="174" t="s">
        <v>109</v>
      </c>
      <c r="C15" s="146">
        <v>10</v>
      </c>
      <c r="D15" s="142"/>
      <c r="E15" s="142"/>
      <c r="F15" s="240" t="s">
        <v>368</v>
      </c>
      <c r="G15" s="241"/>
      <c r="H15" s="241"/>
      <c r="I15" s="242"/>
      <c r="J15" s="157"/>
      <c r="K15" s="157"/>
      <c r="L15" s="156"/>
      <c r="M15" s="128"/>
    </row>
    <row r="16" spans="1:13" ht="22" customHeight="1" thickBot="1" x14ac:dyDescent="0.4">
      <c r="A16" s="126"/>
      <c r="B16" s="148" t="s">
        <v>93</v>
      </c>
      <c r="C16" s="146">
        <v>0</v>
      </c>
      <c r="D16" s="142"/>
      <c r="E16" s="142"/>
      <c r="F16" s="243" t="s">
        <v>360</v>
      </c>
      <c r="G16" s="244"/>
      <c r="H16" s="244"/>
      <c r="I16" s="245"/>
      <c r="J16" s="157"/>
      <c r="K16" s="157"/>
      <c r="L16" s="156"/>
      <c r="M16" s="128"/>
    </row>
    <row r="17" spans="1:13" ht="22" customHeight="1" x14ac:dyDescent="0.35">
      <c r="A17" s="126"/>
      <c r="B17" s="143" t="s">
        <v>92</v>
      </c>
      <c r="C17" s="146">
        <v>10</v>
      </c>
      <c r="D17" s="142"/>
      <c r="E17" s="147"/>
      <c r="F17" s="243" t="s">
        <v>369</v>
      </c>
      <c r="G17" s="244"/>
      <c r="H17" s="244"/>
      <c r="I17" s="245"/>
      <c r="J17" s="155"/>
      <c r="K17" s="155"/>
      <c r="L17" s="154"/>
      <c r="M17" s="128"/>
    </row>
    <row r="18" spans="1:13" ht="22" customHeight="1" x14ac:dyDescent="0.35">
      <c r="A18" s="126"/>
      <c r="B18" s="143" t="s">
        <v>161</v>
      </c>
      <c r="C18" s="142">
        <v>0</v>
      </c>
      <c r="D18" s="142"/>
      <c r="E18" s="147"/>
      <c r="F18" s="236" t="s">
        <v>215</v>
      </c>
      <c r="G18" s="234"/>
      <c r="H18" s="234"/>
      <c r="I18" s="235"/>
      <c r="J18" s="145"/>
      <c r="K18" s="145"/>
      <c r="L18" s="144"/>
      <c r="M18" s="128"/>
    </row>
    <row r="19" spans="1:13" ht="22" customHeight="1" thickBot="1" x14ac:dyDescent="0.4">
      <c r="A19" s="126"/>
      <c r="B19" s="140" t="s">
        <v>340</v>
      </c>
      <c r="C19" s="139">
        <v>5</v>
      </c>
      <c r="D19" s="139"/>
      <c r="E19" s="153"/>
      <c r="F19" s="236" t="s">
        <v>215</v>
      </c>
      <c r="G19" s="234"/>
      <c r="H19" s="234"/>
      <c r="I19" s="235"/>
      <c r="J19" s="145"/>
      <c r="K19" s="145"/>
      <c r="L19" s="144"/>
      <c r="M19" s="128"/>
    </row>
    <row r="20" spans="1:13" ht="22" customHeight="1" thickBot="1" x14ac:dyDescent="0.4">
      <c r="A20" s="126"/>
      <c r="B20" s="152" t="s">
        <v>91</v>
      </c>
      <c r="C20" s="151" t="s">
        <v>228</v>
      </c>
      <c r="D20" s="151" t="s">
        <v>320</v>
      </c>
      <c r="E20" s="151" t="s">
        <v>88</v>
      </c>
      <c r="F20" s="151" t="s">
        <v>87</v>
      </c>
      <c r="G20" s="150" t="s">
        <v>86</v>
      </c>
      <c r="H20" s="150" t="s">
        <v>110</v>
      </c>
      <c r="I20" s="149"/>
      <c r="J20" s="130"/>
      <c r="K20" s="130"/>
      <c r="L20" s="129"/>
      <c r="M20" s="128"/>
    </row>
    <row r="21" spans="1:13" ht="22" customHeight="1" x14ac:dyDescent="0.35">
      <c r="A21" s="126"/>
      <c r="B21" s="148" t="s">
        <v>85</v>
      </c>
      <c r="C21" s="72">
        <v>11886.3</v>
      </c>
      <c r="D21" s="72">
        <v>11886.3</v>
      </c>
      <c r="E21" s="142">
        <f>D21-C21</f>
        <v>0</v>
      </c>
      <c r="F21" s="146">
        <v>0</v>
      </c>
      <c r="H21" s="146"/>
      <c r="I21" s="142" t="s">
        <v>356</v>
      </c>
      <c r="J21" s="130"/>
      <c r="K21" s="130"/>
      <c r="L21" s="129"/>
      <c r="M21" s="128"/>
    </row>
    <row r="22" spans="1:13" ht="22" customHeight="1" x14ac:dyDescent="0.35">
      <c r="A22" s="126"/>
      <c r="B22" s="143" t="s">
        <v>84</v>
      </c>
      <c r="C22" s="175">
        <v>3810</v>
      </c>
      <c r="D22" s="175">
        <v>3812</v>
      </c>
      <c r="E22" s="142">
        <f t="shared" ref="E22:E27" si="0">D22-C22</f>
        <v>2</v>
      </c>
      <c r="F22" s="146">
        <f t="shared" ref="F22:F27" si="1">11-E22</f>
        <v>9</v>
      </c>
      <c r="G22" s="142"/>
      <c r="H22" s="142"/>
      <c r="I22" s="142" t="s">
        <v>370</v>
      </c>
      <c r="J22" s="124"/>
      <c r="K22" s="124"/>
      <c r="L22" s="136"/>
      <c r="M22" s="128"/>
    </row>
    <row r="23" spans="1:13" ht="22" customHeight="1" x14ac:dyDescent="0.35">
      <c r="A23" s="126"/>
      <c r="B23" s="143" t="s">
        <v>83</v>
      </c>
      <c r="C23" s="72">
        <v>4328</v>
      </c>
      <c r="D23" s="72">
        <v>4330</v>
      </c>
      <c r="E23" s="142">
        <f t="shared" si="0"/>
        <v>2</v>
      </c>
      <c r="F23" s="146">
        <f t="shared" si="1"/>
        <v>9</v>
      </c>
      <c r="G23" s="142"/>
      <c r="H23" s="142"/>
      <c r="I23" s="142" t="s">
        <v>371</v>
      </c>
      <c r="J23" s="124"/>
      <c r="K23" s="124"/>
      <c r="L23" s="136"/>
      <c r="M23" s="128"/>
    </row>
    <row r="24" spans="1:13" ht="22" customHeight="1" x14ac:dyDescent="0.35">
      <c r="A24" s="126"/>
      <c r="B24" s="143" t="s">
        <v>246</v>
      </c>
      <c r="C24" s="72">
        <v>4467.5</v>
      </c>
      <c r="D24" s="72">
        <v>4467.5</v>
      </c>
      <c r="E24" s="142">
        <f t="shared" si="0"/>
        <v>0</v>
      </c>
      <c r="F24" s="146">
        <f>11-E24</f>
        <v>11</v>
      </c>
      <c r="G24" s="146"/>
      <c r="H24" s="146"/>
      <c r="I24" s="142" t="s">
        <v>372</v>
      </c>
      <c r="J24" s="124"/>
      <c r="K24" s="124"/>
      <c r="L24" s="136"/>
      <c r="M24" s="128"/>
    </row>
    <row r="25" spans="1:13" ht="22" customHeight="1" x14ac:dyDescent="0.35">
      <c r="A25" s="126"/>
      <c r="B25" s="143" t="s">
        <v>248</v>
      </c>
      <c r="C25" s="72">
        <v>4719.1000000000004</v>
      </c>
      <c r="D25" s="72">
        <v>4721.3</v>
      </c>
      <c r="E25" s="142">
        <f t="shared" si="0"/>
        <v>2.1999999999998181</v>
      </c>
      <c r="F25" s="146">
        <f t="shared" si="1"/>
        <v>8.8000000000001819</v>
      </c>
      <c r="G25" s="142"/>
      <c r="H25" s="142"/>
      <c r="I25" s="142" t="s">
        <v>361</v>
      </c>
      <c r="J25" s="124"/>
      <c r="K25" s="124"/>
      <c r="L25" s="136"/>
      <c r="M25" s="128"/>
    </row>
    <row r="26" spans="1:13" ht="22" customHeight="1" x14ac:dyDescent="0.35">
      <c r="A26" s="126"/>
      <c r="B26" s="143" t="s">
        <v>80</v>
      </c>
      <c r="C26" s="72">
        <v>4193</v>
      </c>
      <c r="D26" s="72">
        <v>4193</v>
      </c>
      <c r="E26" s="142">
        <f t="shared" si="0"/>
        <v>0</v>
      </c>
      <c r="F26" s="146">
        <f t="shared" si="1"/>
        <v>11</v>
      </c>
      <c r="G26" s="142"/>
      <c r="H26" s="142"/>
      <c r="I26" s="142" t="s">
        <v>356</v>
      </c>
      <c r="J26" s="124"/>
      <c r="K26" s="124"/>
      <c r="L26" s="136"/>
      <c r="M26" s="128"/>
    </row>
    <row r="27" spans="1:13" ht="22" customHeight="1" x14ac:dyDescent="0.35">
      <c r="A27" s="126"/>
      <c r="B27" s="143" t="s">
        <v>7</v>
      </c>
      <c r="C27" s="72">
        <v>4600</v>
      </c>
      <c r="D27" s="72">
        <v>4600</v>
      </c>
      <c r="E27" s="142">
        <f t="shared" si="0"/>
        <v>0</v>
      </c>
      <c r="F27" s="146">
        <f t="shared" si="1"/>
        <v>11</v>
      </c>
      <c r="G27" s="142"/>
      <c r="H27" s="142"/>
      <c r="I27" s="142" t="s">
        <v>356</v>
      </c>
      <c r="J27" s="124"/>
      <c r="K27" s="124"/>
      <c r="L27" s="136"/>
      <c r="M27" s="128"/>
    </row>
    <row r="28" spans="1:13" ht="22" customHeight="1" x14ac:dyDescent="0.35">
      <c r="A28" s="126"/>
      <c r="B28" s="181" t="s">
        <v>9</v>
      </c>
      <c r="C28" s="181" t="s">
        <v>212</v>
      </c>
      <c r="D28" s="181" t="s">
        <v>212</v>
      </c>
      <c r="E28" s="181">
        <v>11</v>
      </c>
      <c r="F28" s="181" t="s">
        <v>212</v>
      </c>
      <c r="G28" s="181" t="s">
        <v>212</v>
      </c>
      <c r="H28" s="181" t="s">
        <v>212</v>
      </c>
      <c r="I28" s="166"/>
      <c r="J28" s="124"/>
      <c r="K28" s="124"/>
      <c r="L28" s="136"/>
      <c r="M28" s="128"/>
    </row>
    <row r="29" spans="1:13" ht="22" customHeight="1" x14ac:dyDescent="0.35">
      <c r="A29" s="126"/>
      <c r="B29" s="180" t="s">
        <v>10</v>
      </c>
      <c r="C29" s="180" t="s">
        <v>212</v>
      </c>
      <c r="D29" s="180" t="s">
        <v>212</v>
      </c>
      <c r="E29" s="180">
        <v>11</v>
      </c>
      <c r="F29" s="180" t="s">
        <v>212</v>
      </c>
      <c r="G29" s="180" t="s">
        <v>212</v>
      </c>
      <c r="H29" s="180" t="s">
        <v>212</v>
      </c>
      <c r="I29" s="166"/>
      <c r="J29" s="124"/>
      <c r="K29" s="124"/>
      <c r="L29" s="136"/>
      <c r="M29" s="128"/>
    </row>
    <row r="30" spans="1:13" ht="22" customHeight="1" x14ac:dyDescent="0.35">
      <c r="A30" s="126"/>
      <c r="B30" s="180" t="s">
        <v>11</v>
      </c>
      <c r="C30" s="180" t="s">
        <v>212</v>
      </c>
      <c r="D30" s="180" t="s">
        <v>212</v>
      </c>
      <c r="E30" s="180">
        <v>11</v>
      </c>
      <c r="F30" s="180" t="s">
        <v>212</v>
      </c>
      <c r="G30" s="180" t="s">
        <v>212</v>
      </c>
      <c r="H30" s="180" t="s">
        <v>212</v>
      </c>
      <c r="I30" s="171"/>
      <c r="J30" s="124"/>
      <c r="K30" s="124"/>
      <c r="L30" s="136"/>
      <c r="M30" s="128"/>
    </row>
    <row r="31" spans="1:13" ht="22" customHeight="1" x14ac:dyDescent="0.35">
      <c r="A31" s="126"/>
      <c r="B31" s="180" t="s">
        <v>21</v>
      </c>
      <c r="C31" s="180" t="s">
        <v>212</v>
      </c>
      <c r="D31" s="180" t="s">
        <v>212</v>
      </c>
      <c r="E31" s="180" t="s">
        <v>212</v>
      </c>
      <c r="F31" s="180" t="s">
        <v>212</v>
      </c>
      <c r="G31" s="180" t="s">
        <v>212</v>
      </c>
      <c r="H31" s="180">
        <v>0</v>
      </c>
      <c r="I31" s="171"/>
      <c r="J31" s="124"/>
      <c r="K31" s="124"/>
      <c r="L31" s="136"/>
      <c r="M31" s="128"/>
    </row>
    <row r="32" spans="1:13" ht="22" customHeight="1" thickBot="1" x14ac:dyDescent="0.4">
      <c r="A32" s="126"/>
      <c r="B32" s="180" t="s">
        <v>22</v>
      </c>
      <c r="C32" s="180" t="s">
        <v>212</v>
      </c>
      <c r="D32" s="180" t="s">
        <v>212</v>
      </c>
      <c r="E32" s="180" t="s">
        <v>212</v>
      </c>
      <c r="F32" s="180" t="s">
        <v>212</v>
      </c>
      <c r="G32" s="180" t="s">
        <v>212</v>
      </c>
      <c r="H32" s="180">
        <v>1</v>
      </c>
      <c r="I32" s="167"/>
      <c r="J32" s="124"/>
      <c r="K32" s="124"/>
      <c r="L32" s="136"/>
      <c r="M32" s="128"/>
    </row>
    <row r="33" spans="1:13" ht="22" customHeight="1" x14ac:dyDescent="0.35">
      <c r="A33" s="126"/>
      <c r="B33" s="137" t="s">
        <v>78</v>
      </c>
      <c r="C33" s="130"/>
      <c r="D33" s="130"/>
      <c r="E33" s="130"/>
      <c r="F33" s="130"/>
      <c r="G33" s="130"/>
      <c r="H33" s="130"/>
      <c r="I33" s="129"/>
      <c r="J33" s="137"/>
      <c r="K33" s="145"/>
      <c r="L33" s="144"/>
      <c r="M33" s="128"/>
    </row>
    <row r="34" spans="1:13" ht="22" customHeight="1" x14ac:dyDescent="0.35">
      <c r="A34" s="126"/>
      <c r="B34" s="125" t="s">
        <v>363</v>
      </c>
      <c r="C34" s="124"/>
      <c r="D34" s="124"/>
      <c r="E34" s="124"/>
      <c r="F34" s="124"/>
      <c r="G34" s="124"/>
      <c r="H34" s="124"/>
      <c r="I34" s="136"/>
      <c r="J34" s="125"/>
      <c r="K34" s="124"/>
      <c r="L34" s="136"/>
      <c r="M34" s="128"/>
    </row>
    <row r="35" spans="1:13" ht="22" customHeight="1" x14ac:dyDescent="0.35">
      <c r="A35" s="126"/>
      <c r="B35" s="125"/>
      <c r="C35" s="124"/>
      <c r="D35" s="124"/>
      <c r="E35" s="124"/>
      <c r="F35" s="124"/>
      <c r="G35" s="124"/>
      <c r="H35" s="124"/>
      <c r="I35" s="124"/>
      <c r="J35" s="132" t="s">
        <v>77</v>
      </c>
      <c r="K35" s="124"/>
      <c r="L35" s="136"/>
      <c r="M35" s="128"/>
    </row>
    <row r="36" spans="1:13" ht="22" customHeight="1" x14ac:dyDescent="0.35">
      <c r="A36" s="126"/>
      <c r="B36" s="125"/>
      <c r="C36" s="124"/>
      <c r="D36" s="124"/>
      <c r="E36" s="124"/>
      <c r="F36" s="124"/>
      <c r="G36" s="124"/>
      <c r="H36" s="124"/>
      <c r="I36" s="124"/>
      <c r="J36" s="135" t="s">
        <v>74</v>
      </c>
      <c r="K36" s="123"/>
      <c r="L36" s="133"/>
      <c r="M36" s="128"/>
    </row>
    <row r="37" spans="1:13" ht="22" customHeight="1" x14ac:dyDescent="0.35">
      <c r="A37" s="126"/>
      <c r="B37" s="132" t="s">
        <v>76</v>
      </c>
      <c r="C37" s="124"/>
      <c r="D37" s="124"/>
      <c r="E37" s="124"/>
      <c r="F37" s="124"/>
      <c r="G37" s="124"/>
      <c r="H37" s="124"/>
      <c r="I37" s="124"/>
      <c r="J37" s="134"/>
      <c r="K37" s="123"/>
      <c r="L37" s="133"/>
      <c r="M37" s="128"/>
    </row>
    <row r="38" spans="1:13" ht="22" customHeight="1" x14ac:dyDescent="0.35">
      <c r="A38" s="126"/>
      <c r="B38" s="125"/>
      <c r="C38" s="124"/>
      <c r="D38" s="124"/>
      <c r="E38" s="124"/>
      <c r="F38" s="124"/>
      <c r="G38" s="124"/>
      <c r="H38" s="124"/>
      <c r="I38" s="124"/>
      <c r="J38" s="131"/>
      <c r="K38" s="130"/>
      <c r="L38" s="129"/>
      <c r="M38" s="128"/>
    </row>
    <row r="39" spans="1:13" ht="22" customHeight="1" x14ac:dyDescent="0.35">
      <c r="A39" s="126"/>
      <c r="B39" s="125"/>
      <c r="C39" s="124"/>
      <c r="D39" s="124"/>
      <c r="E39" s="124"/>
      <c r="F39" s="124"/>
      <c r="G39" s="124"/>
      <c r="H39" s="124"/>
      <c r="I39" s="124"/>
      <c r="J39" s="132" t="s">
        <v>75</v>
      </c>
      <c r="K39" s="124"/>
      <c r="L39" s="136"/>
      <c r="M39" s="128"/>
    </row>
    <row r="40" spans="1:13" ht="22" customHeight="1" x14ac:dyDescent="0.35">
      <c r="A40" s="126"/>
      <c r="B40" s="125"/>
      <c r="C40" s="124"/>
      <c r="D40" s="124"/>
      <c r="E40" s="124"/>
      <c r="F40" s="124"/>
      <c r="G40" s="124"/>
      <c r="H40" s="124"/>
      <c r="I40" s="124"/>
      <c r="J40" s="135" t="s">
        <v>74</v>
      </c>
      <c r="K40" s="123"/>
      <c r="L40" s="133"/>
      <c r="M40" s="128"/>
    </row>
    <row r="41" spans="1:13" ht="22" customHeight="1" x14ac:dyDescent="0.35">
      <c r="A41" s="126"/>
      <c r="B41" s="125"/>
      <c r="C41" s="124"/>
      <c r="D41" s="124"/>
      <c r="E41" s="124"/>
      <c r="F41" s="124"/>
      <c r="G41" s="124"/>
      <c r="H41" s="124"/>
      <c r="I41" s="124"/>
      <c r="J41" s="134"/>
      <c r="K41" s="123"/>
      <c r="L41" s="133"/>
      <c r="M41" s="128"/>
    </row>
    <row r="42" spans="1:13" ht="22" customHeight="1" x14ac:dyDescent="0.35">
      <c r="A42" s="126"/>
      <c r="B42" s="125"/>
      <c r="C42" s="124"/>
      <c r="D42" s="124"/>
      <c r="E42" s="124"/>
      <c r="F42" s="124"/>
      <c r="G42" s="124"/>
      <c r="H42" s="124"/>
      <c r="I42" s="124"/>
      <c r="J42" s="131"/>
      <c r="K42" s="130"/>
      <c r="L42" s="129"/>
      <c r="M42" s="128"/>
    </row>
    <row r="43" spans="1:13" ht="16.399999999999999" customHeight="1" thickBot="1" x14ac:dyDescent="0.4">
      <c r="A43" s="122"/>
      <c r="B43" s="121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7"/>
    </row>
  </sheetData>
  <mergeCells count="14">
    <mergeCell ref="F2:I3"/>
    <mergeCell ref="B4:E4"/>
    <mergeCell ref="B7:L8"/>
    <mergeCell ref="B9:L10"/>
    <mergeCell ref="F11:I11"/>
    <mergeCell ref="J11:L11"/>
    <mergeCell ref="F18:I18"/>
    <mergeCell ref="F19:I19"/>
    <mergeCell ref="F12:I12"/>
    <mergeCell ref="F13:I13"/>
    <mergeCell ref="F14:I14"/>
    <mergeCell ref="F15:I15"/>
    <mergeCell ref="F16:I16"/>
    <mergeCell ref="F17:I17"/>
  </mergeCells>
  <pageMargins left="0.75" right="0.75" top="1" bottom="1" header="0.5" footer="0.5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1]!Module1.SaveAndSend_Dayworks">
                <anchor moveWithCells="1" sizeWithCells="1">
                  <from>
                    <xdr:col>15</xdr:col>
                    <xdr:colOff>254000</xdr:colOff>
                    <xdr:row>8</xdr:row>
                    <xdr:rowOff>152400</xdr:rowOff>
                  </from>
                  <to>
                    <xdr:col>19</xdr:col>
                    <xdr:colOff>38100</xdr:colOff>
                    <xdr:row>13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6362153F348844A9AF0DCF606710E6" ma:contentTypeVersion="23" ma:contentTypeDescription="Create a new document." ma:contentTypeScope="" ma:versionID="c83dd800e1c6020a0b9ac460066a0456">
  <xsd:schema xmlns:xsd="http://www.w3.org/2001/XMLSchema" xmlns:xs="http://www.w3.org/2001/XMLSchema" xmlns:p="http://schemas.microsoft.com/office/2006/metadata/properties" xmlns:ns2="e2a20018-3320-408b-bcd9-05103b7b14c7" xmlns:ns3="104212f3-a200-48da-8ba1-6464bc068503" targetNamespace="http://schemas.microsoft.com/office/2006/metadata/properties" ma:root="true" ma:fieldsID="3b966659878ddb9c20d61d8a0d688777" ns2:_="" ns3:_="">
    <xsd:import namespace="e2a20018-3320-408b-bcd9-05103b7b14c7"/>
    <xsd:import namespace="104212f3-a200-48da-8ba1-6464bc0685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Comment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20018-3320-408b-bcd9-05103b7b14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ff6c4f1-c94d-4564-8850-245cae7591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Comment" ma:index="24" nillable="true" ma:displayName="Comment" ma:format="Dropdown" ma:internalName="Comment">
      <xsd:simpleType>
        <xsd:restriction base="dms:Note">
          <xsd:maxLength value="255"/>
        </xsd:restriction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4212f3-a200-48da-8ba1-6464bc06850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09590539-709c-4a5d-9ad2-94202c99ee90}" ma:internalName="TaxCatchAll" ma:showField="CatchAllData" ma:web="104212f3-a200-48da-8ba1-6464bc0685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2a20018-3320-408b-bcd9-05103b7b14c7">
      <Terms xmlns="http://schemas.microsoft.com/office/infopath/2007/PartnerControls"/>
    </lcf76f155ced4ddcb4097134ff3c332f>
    <TaxCatchAll xmlns="104212f3-a200-48da-8ba1-6464bc068503" xsi:nil="true"/>
    <Comment xmlns="e2a20018-3320-408b-bcd9-05103b7b14c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10A833-AD5E-4F52-B6C9-89A574A11D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a20018-3320-408b-bcd9-05103b7b14c7"/>
    <ds:schemaRef ds:uri="104212f3-a200-48da-8ba1-6464bc0685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F87993-AD4F-4038-B251-DE3A5A71BFDD}">
  <ds:schemaRefs>
    <ds:schemaRef ds:uri="http://schemas.microsoft.com/office/2006/metadata/properties"/>
    <ds:schemaRef ds:uri="http://schemas.microsoft.com/office/infopath/2007/PartnerControls"/>
    <ds:schemaRef ds:uri="e2a20018-3320-408b-bcd9-05103b7b14c7"/>
    <ds:schemaRef ds:uri="104212f3-a200-48da-8ba1-6464bc068503"/>
  </ds:schemaRefs>
</ds:datastoreItem>
</file>

<file path=customXml/itemProps3.xml><?xml version="1.0" encoding="utf-8"?>
<ds:datastoreItem xmlns:ds="http://schemas.openxmlformats.org/officeDocument/2006/customXml" ds:itemID="{640FA29F-B908-4836-97DD-07A760CC48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50</vt:i4>
      </vt:variant>
    </vt:vector>
  </HeadingPairs>
  <TitlesOfParts>
    <vt:vector size="107" baseType="lpstr">
      <vt:lpstr>Config</vt:lpstr>
      <vt:lpstr>Daily Log</vt:lpstr>
      <vt:lpstr>RE Rates</vt:lpstr>
      <vt:lpstr>Sitzler Rates</vt:lpstr>
      <vt:lpstr>Monthly Claim (Client)</vt:lpstr>
      <vt:lpstr>Site Instructions &amp; Variations</vt:lpstr>
      <vt:lpstr>Operators</vt:lpstr>
      <vt:lpstr>1 Nov 25 </vt:lpstr>
      <vt:lpstr>2 Nov 25</vt:lpstr>
      <vt:lpstr>3 Nov 25 </vt:lpstr>
      <vt:lpstr>4 Nov 25 </vt:lpstr>
      <vt:lpstr>5 Nov 25 </vt:lpstr>
      <vt:lpstr>6 Nov 25 </vt:lpstr>
      <vt:lpstr>7 Nov 25  </vt:lpstr>
      <vt:lpstr>8 Nov 25  </vt:lpstr>
      <vt:lpstr>9 Nov 25  </vt:lpstr>
      <vt:lpstr>10 Nov 25   </vt:lpstr>
      <vt:lpstr>11 Nov 25  </vt:lpstr>
      <vt:lpstr>12 Nov 25 </vt:lpstr>
      <vt:lpstr>13 Nov 25  </vt:lpstr>
      <vt:lpstr>14 Nov 25  </vt:lpstr>
      <vt:lpstr>15 Nov 25  </vt:lpstr>
      <vt:lpstr>16 Nov 25   </vt:lpstr>
      <vt:lpstr>24 Nov 25  </vt:lpstr>
      <vt:lpstr>25 Nov 25</vt:lpstr>
      <vt:lpstr>26 Nov 25 </vt:lpstr>
      <vt:lpstr>27 Nov 25  </vt:lpstr>
      <vt:lpstr>28 Nov 25 </vt:lpstr>
      <vt:lpstr>29 Nov 25 </vt:lpstr>
      <vt:lpstr>30 Nov 25 </vt:lpstr>
      <vt:lpstr>1 Dec 25</vt:lpstr>
      <vt:lpstr>2 Dec 25</vt:lpstr>
      <vt:lpstr>3 Dec 25</vt:lpstr>
      <vt:lpstr>4 Dec 25</vt:lpstr>
      <vt:lpstr> 6 Dec 25</vt:lpstr>
      <vt:lpstr>7 Dec 25</vt:lpstr>
      <vt:lpstr>8 Dec 25</vt:lpstr>
      <vt:lpstr>9 Dec 25 </vt:lpstr>
      <vt:lpstr>10 Dec 25  </vt:lpstr>
      <vt:lpstr>11 Dec 25   </vt:lpstr>
      <vt:lpstr>12 Dec 25</vt:lpstr>
      <vt:lpstr>13 Dec 25</vt:lpstr>
      <vt:lpstr>14 Dec 25</vt:lpstr>
      <vt:lpstr>5 Jan 26</vt:lpstr>
      <vt:lpstr>6 Jan 26</vt:lpstr>
      <vt:lpstr>7 Jan</vt:lpstr>
      <vt:lpstr>8 Jan</vt:lpstr>
      <vt:lpstr>9 Jan 26</vt:lpstr>
      <vt:lpstr>10 Jan 26</vt:lpstr>
      <vt:lpstr>11 Jan 26</vt:lpstr>
      <vt:lpstr>12 Jan 26</vt:lpstr>
      <vt:lpstr>13 Jan 26 </vt:lpstr>
      <vt:lpstr>14 Jan 26  </vt:lpstr>
      <vt:lpstr>15 Jan 26   </vt:lpstr>
      <vt:lpstr>16 Jan 26  </vt:lpstr>
      <vt:lpstr>17 Jan 26   </vt:lpstr>
      <vt:lpstr>18 Jan 26    </vt:lpstr>
      <vt:lpstr>' 6 Dec 25'!Print_Area</vt:lpstr>
      <vt:lpstr>'1 Dec 25'!Print_Area</vt:lpstr>
      <vt:lpstr>'1 Nov 25 '!Print_Area</vt:lpstr>
      <vt:lpstr>'10 Dec 25  '!Print_Area</vt:lpstr>
      <vt:lpstr>'10 Jan 26'!Print_Area</vt:lpstr>
      <vt:lpstr>'10 Nov 25   '!Print_Area</vt:lpstr>
      <vt:lpstr>'11 Dec 25   '!Print_Area</vt:lpstr>
      <vt:lpstr>'11 Jan 26'!Print_Area</vt:lpstr>
      <vt:lpstr>'11 Nov 25  '!Print_Area</vt:lpstr>
      <vt:lpstr>'12 Dec 25'!Print_Area</vt:lpstr>
      <vt:lpstr>'12 Jan 26'!Print_Area</vt:lpstr>
      <vt:lpstr>'12 Nov 25 '!Print_Area</vt:lpstr>
      <vt:lpstr>'13 Dec 25'!Print_Area</vt:lpstr>
      <vt:lpstr>'13 Jan 26 '!Print_Area</vt:lpstr>
      <vt:lpstr>'13 Nov 25  '!Print_Area</vt:lpstr>
      <vt:lpstr>'14 Dec 25'!Print_Area</vt:lpstr>
      <vt:lpstr>'14 Jan 26  '!Print_Area</vt:lpstr>
      <vt:lpstr>'14 Nov 25  '!Print_Area</vt:lpstr>
      <vt:lpstr>'15 Jan 26   '!Print_Area</vt:lpstr>
      <vt:lpstr>'15 Nov 25  '!Print_Area</vt:lpstr>
      <vt:lpstr>'16 Jan 26  '!Print_Area</vt:lpstr>
      <vt:lpstr>'16 Nov 25   '!Print_Area</vt:lpstr>
      <vt:lpstr>'17 Jan 26   '!Print_Area</vt:lpstr>
      <vt:lpstr>'18 Jan 26    '!Print_Area</vt:lpstr>
      <vt:lpstr>'2 Dec 25'!Print_Area</vt:lpstr>
      <vt:lpstr>'2 Nov 25'!Print_Area</vt:lpstr>
      <vt:lpstr>'24 Nov 25  '!Print_Area</vt:lpstr>
      <vt:lpstr>'25 Nov 25'!Print_Area</vt:lpstr>
      <vt:lpstr>'26 Nov 25 '!Print_Area</vt:lpstr>
      <vt:lpstr>'27 Nov 25  '!Print_Area</vt:lpstr>
      <vt:lpstr>'28 Nov 25 '!Print_Area</vt:lpstr>
      <vt:lpstr>'29 Nov 25 '!Print_Area</vt:lpstr>
      <vt:lpstr>'3 Dec 25'!Print_Area</vt:lpstr>
      <vt:lpstr>'3 Nov 25 '!Print_Area</vt:lpstr>
      <vt:lpstr>'30 Nov 25 '!Print_Area</vt:lpstr>
      <vt:lpstr>'4 Dec 25'!Print_Area</vt:lpstr>
      <vt:lpstr>'4 Nov 25 '!Print_Area</vt:lpstr>
      <vt:lpstr>'5 Jan 26'!Print_Area</vt:lpstr>
      <vt:lpstr>'5 Nov 25 '!Print_Area</vt:lpstr>
      <vt:lpstr>'6 Jan 26'!Print_Area</vt:lpstr>
      <vt:lpstr>'6 Nov 25 '!Print_Area</vt:lpstr>
      <vt:lpstr>'7 Dec 25'!Print_Area</vt:lpstr>
      <vt:lpstr>'7 Jan'!Print_Area</vt:lpstr>
      <vt:lpstr>'7 Nov 25  '!Print_Area</vt:lpstr>
      <vt:lpstr>'8 Dec 25'!Print_Area</vt:lpstr>
      <vt:lpstr>'8 Jan'!Print_Area</vt:lpstr>
      <vt:lpstr>'8 Nov 25  '!Print_Area</vt:lpstr>
      <vt:lpstr>'9 Dec 25 '!Print_Area</vt:lpstr>
      <vt:lpstr>'9 Jan 26'!Print_Area</vt:lpstr>
      <vt:lpstr>'9 Nov 25  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P6South Monthly Claim</dc:title>
  <dc:subject/>
  <dc:creator>Warwick Mylchreest</dc:creator>
  <cp:keywords/>
  <dc:description/>
  <cp:lastModifiedBy>Warwick Mylchreest</cp:lastModifiedBy>
  <cp:revision/>
  <cp:lastPrinted>2025-12-12T01:37:02Z</cp:lastPrinted>
  <dcterms:created xsi:type="dcterms:W3CDTF">2025-09-17T02:40:22Z</dcterms:created>
  <dcterms:modified xsi:type="dcterms:W3CDTF">2026-02-02T05:45:16Z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0x010100606362153F348844A9AF0DCF606710E6</vt:lpwstr>
  </property>
  <property fmtid="{D5CDD505-2E9C-101B-9397-08002B2CF9AE}" pid="3" name="MediaServiceImageTags">
    <vt:lpwstr/>
  </property>
</Properties>
</file>